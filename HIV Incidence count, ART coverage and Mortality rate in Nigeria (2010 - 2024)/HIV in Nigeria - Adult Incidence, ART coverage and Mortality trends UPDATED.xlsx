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yProjects\Excel-Projects\"/>
    </mc:Choice>
  </mc:AlternateContent>
  <xr:revisionPtr revIDLastSave="0" documentId="13_ncr:1_{A55409D3-9F36-49A9-9C77-57A6D81D3D7C}" xr6:coauthVersionLast="36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Incidence&amp;Mortality Est extract" sheetId="3" r:id="rId1"/>
    <sheet name="ART Coverage % Extract" sheetId="7" r:id="rId2"/>
    <sheet name="Cleaned Version" sheetId="8" r:id="rId3"/>
    <sheet name="Queried Version" sheetId="12" r:id="rId4"/>
    <sheet name="Pivot_Analysis" sheetId="13" r:id="rId5"/>
  </sheets>
  <definedNames>
    <definedName name="ExternalData_1" localSheetId="3" hidden="1">'Queried Version'!$A$1:$D$136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F239" i="13" l="1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38" i="13"/>
  <c r="G104" i="13" l="1"/>
  <c r="O104" i="13"/>
  <c r="O110" i="13"/>
  <c r="G110" i="13"/>
  <c r="F107" i="13"/>
  <c r="N107" i="13"/>
  <c r="D196" i="13" l="1"/>
  <c r="G50" i="13"/>
  <c r="J4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C2FF2C-5478-4518-989A-78632D60DBBE}" keepAlive="1" name="Query - Indicator_Table" description="Connection to the 'Indicator_Table' query in the workbook." type="5" refreshedVersion="6" background="1" saveData="1">
    <dbPr connection="Provider=Microsoft.Mashup.OleDb.1;Data Source=$Workbook$;Location=Indicator_Table;Extended Properties=&quot;&quot;" command="SELECT * FROM [Indicator_Table]"/>
  </connection>
  <connection id="2" xr16:uid="{48888248-CEC4-4D1C-867C-89EA5376DF92}" keepAlive="1" name="Query - Table1" description="Connection to the 'Table1' query in the workbook." type="5" refreshedVersion="6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<sst xmlns="http://schemas.openxmlformats.org/spreadsheetml/2006/main" count="5555" uniqueCount="307">
  <si>
    <t>370 000</t>
  </si>
  <si>
    <t>290 000</t>
  </si>
  <si>
    <t>490 000</t>
  </si>
  <si>
    <t>120 000</t>
  </si>
  <si>
    <t>84 000</t>
  </si>
  <si>
    <t>180 000</t>
  </si>
  <si>
    <t>250 000</t>
  </si>
  <si>
    <t>190 000</t>
  </si>
  <si>
    <t>330 000</t>
  </si>
  <si>
    <t>430 000</t>
  </si>
  <si>
    <t>660 000</t>
  </si>
  <si>
    <t>400 000</t>
  </si>
  <si>
    <t>260 000</t>
  </si>
  <si>
    <t>170 000</t>
  </si>
  <si>
    <t>380 000</t>
  </si>
  <si>
    <t>12 000</t>
  </si>
  <si>
    <t>18 000</t>
  </si>
  <si>
    <t>14 000</t>
  </si>
  <si>
    <t>150 000</t>
  </si>
  <si>
    <t>670 000</t>
  </si>
  <si>
    <t>550 000</t>
  </si>
  <si>
    <t>810 000</t>
  </si>
  <si>
    <t>10 000</t>
  </si>
  <si>
    <t>13 000</t>
  </si>
  <si>
    <t>11 000</t>
  </si>
  <si>
    <t>320 000</t>
  </si>
  <si>
    <t>230 000</t>
  </si>
  <si>
    <t>450 000</t>
  </si>
  <si>
    <t>240 000</t>
  </si>
  <si>
    <t>460 000</t>
  </si>
  <si>
    <t>&lt;100</t>
  </si>
  <si>
    <t>&lt;200</t>
  </si>
  <si>
    <t>&lt;500</t>
  </si>
  <si>
    <t>...</t>
  </si>
  <si>
    <t>100 000</t>
  </si>
  <si>
    <t>280 000</t>
  </si>
  <si>
    <t>29 000</t>
  </si>
  <si>
    <t>26 000</t>
  </si>
  <si>
    <t>32 000</t>
  </si>
  <si>
    <t>270 000</t>
  </si>
  <si>
    <t>130 000</t>
  </si>
  <si>
    <t>140 000</t>
  </si>
  <si>
    <t>55 000</t>
  </si>
  <si>
    <t>49 000</t>
  </si>
  <si>
    <t>62 000</t>
  </si>
  <si>
    <t>110 000</t>
  </si>
  <si>
    <t>30 000</t>
  </si>
  <si>
    <t>21 000</t>
  </si>
  <si>
    <t>41 000</t>
  </si>
  <si>
    <t>23 000</t>
  </si>
  <si>
    <t>44 000</t>
  </si>
  <si>
    <t>19 000</t>
  </si>
  <si>
    <t>37 000</t>
  </si>
  <si>
    <t>28 000</t>
  </si>
  <si>
    <t>51 000</t>
  </si>
  <si>
    <t>78 000</t>
  </si>
  <si>
    <t>58 000</t>
  </si>
  <si>
    <t>82 000</t>
  </si>
  <si>
    <t>61 000</t>
  </si>
  <si>
    <t>17 000</t>
  </si>
  <si>
    <t>15 000</t>
  </si>
  <si>
    <t>25 000</t>
  </si>
  <si>
    <t>16 000</t>
  </si>
  <si>
    <t>200 000</t>
  </si>
  <si>
    <t>160 000</t>
  </si>
  <si>
    <t>96 000</t>
  </si>
  <si>
    <t>350 000</t>
  </si>
  <si>
    <t>440 000</t>
  </si>
  <si>
    <t>340 000</t>
  </si>
  <si>
    <t>410 000</t>
  </si>
  <si>
    <t>760 000</t>
  </si>
  <si>
    <t>24 000</t>
  </si>
  <si>
    <t>42 000</t>
  </si>
  <si>
    <t>36 000</t>
  </si>
  <si>
    <t>38 000</t>
  </si>
  <si>
    <t>33 000</t>
  </si>
  <si>
    <t>310 000</t>
  </si>
  <si>
    <t>360 000</t>
  </si>
  <si>
    <t>22 000</t>
  </si>
  <si>
    <t>31 000</t>
  </si>
  <si>
    <t>91 000</t>
  </si>
  <si>
    <t>20 000</t>
  </si>
  <si>
    <t>35 000</t>
  </si>
  <si>
    <t>300 000</t>
  </si>
  <si>
    <t>570 000</t>
  </si>
  <si>
    <t>480 000</t>
  </si>
  <si>
    <t>48 000</t>
  </si>
  <si>
    <t>40 000</t>
  </si>
  <si>
    <t>39 000</t>
  </si>
  <si>
    <t>97 000</t>
  </si>
  <si>
    <t>470 000</t>
  </si>
  <si>
    <t>87 000</t>
  </si>
  <si>
    <t>77 000</t>
  </si>
  <si>
    <t>99 000</t>
  </si>
  <si>
    <t>92 000</t>
  </si>
  <si>
    <t>50 000</t>
  </si>
  <si>
    <t>52 000</t>
  </si>
  <si>
    <t>90 000</t>
  </si>
  <si>
    <t>74 000</t>
  </si>
  <si>
    <t>66 000</t>
  </si>
  <si>
    <t>75 000</t>
  </si>
  <si>
    <t>67 000</t>
  </si>
  <si>
    <t>79 000</t>
  </si>
  <si>
    <t>70 000</t>
  </si>
  <si>
    <t>88 000</t>
  </si>
  <si>
    <t>60 000</t>
  </si>
  <si>
    <t>89 000</t>
  </si>
  <si>
    <t>420 000</t>
  </si>
  <si>
    <t>740 000</t>
  </si>
  <si>
    <t>720 000</t>
  </si>
  <si>
    <t>81 000</t>
  </si>
  <si>
    <t>69 000</t>
  </si>
  <si>
    <t>94 000</t>
  </si>
  <si>
    <t>27 000</t>
  </si>
  <si>
    <t>98 000</t>
  </si>
  <si>
    <t>47 000</t>
  </si>
  <si>
    <t>630 000</t>
  </si>
  <si>
    <t>600 000</t>
  </si>
  <si>
    <t>220 000</t>
  </si>
  <si>
    <t>83 000</t>
  </si>
  <si>
    <t>76 000</t>
  </si>
  <si>
    <t>95 000</t>
  </si>
  <si>
    <t>45 000</t>
  </si>
  <si>
    <t>790 000</t>
  </si>
  <si>
    <t>59 000</t>
  </si>
  <si>
    <t>54 000</t>
  </si>
  <si>
    <t>86 000</t>
  </si>
  <si>
    <t>210 000</t>
  </si>
  <si>
    <t>53 000</t>
  </si>
  <si>
    <t>43 000</t>
  </si>
  <si>
    <t>Western and central Africa</t>
  </si>
  <si>
    <t>93 000</t>
  </si>
  <si>
    <t>46 000</t>
  </si>
  <si>
    <t>72 000</t>
  </si>
  <si>
    <t>BEN</t>
  </si>
  <si>
    <t>Benin</t>
  </si>
  <si>
    <t>BFA</t>
  </si>
  <si>
    <t>Burkina Faso</t>
  </si>
  <si>
    <t>68 000</t>
  </si>
  <si>
    <t>BDI</t>
  </si>
  <si>
    <t>Burundi</t>
  </si>
  <si>
    <t>56 000</t>
  </si>
  <si>
    <t>63 000</t>
  </si>
  <si>
    <t>CMR</t>
  </si>
  <si>
    <t>Cameroon</t>
  </si>
  <si>
    <t>34 000</t>
  </si>
  <si>
    <t>CPV</t>
  </si>
  <si>
    <t>Cape Verde</t>
  </si>
  <si>
    <t>CAF</t>
  </si>
  <si>
    <t>Central African Republic</t>
  </si>
  <si>
    <t>TCD</t>
  </si>
  <si>
    <t>Chad</t>
  </si>
  <si>
    <t>COG</t>
  </si>
  <si>
    <t>Congo</t>
  </si>
  <si>
    <t>71 000</t>
  </si>
  <si>
    <t>CIV</t>
  </si>
  <si>
    <t>Cote dIvoire</t>
  </si>
  <si>
    <t>COD</t>
  </si>
  <si>
    <t>Democratic Republic of the Congo</t>
  </si>
  <si>
    <t>390 000</t>
  </si>
  <si>
    <t>510 000</t>
  </si>
  <si>
    <t>73 000</t>
  </si>
  <si>
    <t>GNQ</t>
  </si>
  <si>
    <t>Equatorial Guinea</t>
  </si>
  <si>
    <t>GAB</t>
  </si>
  <si>
    <t>Gabon</t>
  </si>
  <si>
    <t>GMB</t>
  </si>
  <si>
    <t>Gambia</t>
  </si>
  <si>
    <t>GHA</t>
  </si>
  <si>
    <t>Ghana</t>
  </si>
  <si>
    <t>64 000</t>
  </si>
  <si>
    <t>GIN</t>
  </si>
  <si>
    <t>Guinea</t>
  </si>
  <si>
    <t>GNB</t>
  </si>
  <si>
    <t>Guinea-Bissau</t>
  </si>
  <si>
    <t>LBR</t>
  </si>
  <si>
    <t>Liberia</t>
  </si>
  <si>
    <t>MLI</t>
  </si>
  <si>
    <t>Mali</t>
  </si>
  <si>
    <t>MRT</t>
  </si>
  <si>
    <t>Mauritania</t>
  </si>
  <si>
    <t>NER</t>
  </si>
  <si>
    <t>Niger</t>
  </si>
  <si>
    <t>NGA</t>
  </si>
  <si>
    <t>Nigeria</t>
  </si>
  <si>
    <t>SEN</t>
  </si>
  <si>
    <t>Senegal</t>
  </si>
  <si>
    <t>SLE</t>
  </si>
  <si>
    <t>Sierra Leone</t>
  </si>
  <si>
    <t>TGO</t>
  </si>
  <si>
    <t>Togo</t>
  </si>
  <si>
    <t>STP</t>
  </si>
  <si>
    <t>Sao Tome and Principe</t>
  </si>
  <si>
    <t>57 000</t>
  </si>
  <si>
    <t>710 000</t>
  </si>
  <si>
    <t>770 000</t>
  </si>
  <si>
    <t>85 000</t>
  </si>
  <si>
    <t>65 000</t>
  </si>
  <si>
    <t>530 000</t>
  </si>
  <si>
    <t>500 000</t>
  </si>
  <si>
    <t>780 000</t>
  </si>
  <si>
    <t>AIDS-related deaths among adults (15+)</t>
  </si>
  <si>
    <t>Adults (15+) newly infected with HIV</t>
  </si>
  <si>
    <t>Estimate</t>
  </si>
  <si>
    <t>Low</t>
  </si>
  <si>
    <t>High</t>
  </si>
  <si>
    <t>HIV estimates with uncertainty bounds</t>
  </si>
  <si>
    <t>(Adults, ages 15+)</t>
  </si>
  <si>
    <t>&gt;98</t>
  </si>
  <si>
    <t>Percentage of people living with HIV who are on antiretroviral treatment</t>
  </si>
  <si>
    <t>UNAWCA</t>
  </si>
  <si>
    <t>1990-2024</t>
  </si>
  <si>
    <t>Source: UNAIDS 2025 estimates</t>
  </si>
  <si>
    <t>Mortality_Count Estimate</t>
  </si>
  <si>
    <t>Mortality_Count Low</t>
  </si>
  <si>
    <t>Mortality_Count High</t>
  </si>
  <si>
    <t>Incidence_Count Estimate</t>
  </si>
  <si>
    <t>Incidence_Count Low</t>
  </si>
  <si>
    <t>Incidence_Count High</t>
  </si>
  <si>
    <t>ART_Coverage Estimate</t>
  </si>
  <si>
    <t>ART_Coverage Low</t>
  </si>
  <si>
    <t>ART_Coverage High</t>
  </si>
  <si>
    <t>Year</t>
  </si>
  <si>
    <t>Abbv.</t>
  </si>
  <si>
    <t>Country</t>
  </si>
  <si>
    <t>Type</t>
  </si>
  <si>
    <t>Value</t>
  </si>
  <si>
    <t>Mortality_Count</t>
  </si>
  <si>
    <t>Incidence_Count</t>
  </si>
  <si>
    <t>ART_Coverage</t>
  </si>
  <si>
    <t>2010 - 2024</t>
  </si>
  <si>
    <t>Sum of Value</t>
  </si>
  <si>
    <t>1.1. Overall HIV/AIDS Incidence Trend</t>
  </si>
  <si>
    <r>
      <rPr>
        <b/>
        <sz val="12"/>
        <color theme="0"/>
        <rFont val="Calibri"/>
        <family val="2"/>
        <scheme val="minor"/>
      </rPr>
      <t>Chart 1.1</t>
    </r>
    <r>
      <rPr>
        <sz val="12"/>
        <color theme="0"/>
        <rFont val="Calibri"/>
        <family val="2"/>
        <scheme val="minor"/>
      </rPr>
      <t>: Annual HIV incidence in Nigeria has shown a steady decline between 2010 and 2024, reflecting progress in prevention and treatment interventions.</t>
    </r>
  </si>
  <si>
    <t>% Decline</t>
  </si>
  <si>
    <t>=</t>
  </si>
  <si>
    <t>x 100</t>
  </si>
  <si>
    <t>To Calculate Percentage decline, we use the formula:</t>
  </si>
  <si>
    <t>2010 Incidence - 2024 Incidence</t>
  </si>
  <si>
    <t>2010 Incidence</t>
  </si>
  <si>
    <t xml:space="preserve">% Decline </t>
  </si>
  <si>
    <t xml:space="preserve">C39 - C40 </t>
  </si>
  <si>
    <t>C39</t>
  </si>
  <si>
    <t>To Calculate Compund Annual Growth Rate (CAGR), We use the formula:</t>
  </si>
  <si>
    <t>GAGR</t>
  </si>
  <si>
    <t>(End_Value/Start_Value) ^ (1/n) - 1</t>
  </si>
  <si>
    <t>n = Number of years</t>
  </si>
  <si>
    <t>1.3.  Year to Year Percentage Change</t>
  </si>
  <si>
    <t>ANALYSIS OF HIV INCIDENCE, ART COVERAGE AND AIDS-RELATED DEATHS TREND IN NIGERIA (2010 - 2024)</t>
  </si>
  <si>
    <r>
      <rPr>
        <b/>
        <sz val="12"/>
        <color theme="0"/>
        <rFont val="Calibri"/>
        <family val="2"/>
        <scheme val="minor"/>
      </rPr>
      <t>Chart 1.3</t>
    </r>
    <r>
      <rPr>
        <sz val="12"/>
        <color theme="0"/>
        <rFont val="Calibri"/>
        <family val="2"/>
        <scheme val="minor"/>
      </rPr>
      <t>: Annual Percentage change analysis shows a consistent year-on-year decline in HIV incidence in Nigeria, with no change recorded in 2011.</t>
    </r>
  </si>
  <si>
    <t>Post-Policy Period (2017 - 2024)</t>
  </si>
  <si>
    <t xml:space="preserve">% Decline = </t>
  </si>
  <si>
    <t>2010 -2016</t>
  </si>
  <si>
    <t>2017 - 2024</t>
  </si>
  <si>
    <t>Average Incidence Counts  =</t>
  </si>
  <si>
    <t>Sum of incidence counts</t>
  </si>
  <si>
    <t>Number of Years</t>
  </si>
  <si>
    <t>GAGR   =</t>
  </si>
  <si>
    <t>End_Value = Incidence count in 2010</t>
  </si>
  <si>
    <t>Start_Value = Incidence count in 2024</t>
  </si>
  <si>
    <t>(2010 incidence count/2016 count) ^ (1/n) - 1</t>
  </si>
  <si>
    <t>(2017 incidence count/2024 count) ^ (1/n) - 1</t>
  </si>
  <si>
    <r>
      <t xml:space="preserve">From 2010 to 2024, HIV Incidence count in Nigeria declined from 110,000 to 31,000 cases, a total reduction of </t>
    </r>
    <r>
      <rPr>
        <b/>
        <sz val="12"/>
        <color theme="0"/>
        <rFont val="Calibri"/>
        <family val="2"/>
        <scheme val="minor"/>
      </rPr>
      <t>71.8%</t>
    </r>
    <r>
      <rPr>
        <sz val="12"/>
        <color theme="0"/>
        <rFont val="Calibri"/>
        <family val="2"/>
        <scheme val="minor"/>
      </rPr>
      <t xml:space="preserve">. This also corresponds to an average compound annual reduction rate (CAGR) of </t>
    </r>
    <r>
      <rPr>
        <b/>
        <sz val="12"/>
        <color theme="0"/>
        <rFont val="Calibri"/>
        <family val="2"/>
        <scheme val="minor"/>
      </rPr>
      <t>8.6%</t>
    </r>
    <r>
      <rPr>
        <sz val="12"/>
        <color theme="0"/>
        <rFont val="Calibri"/>
        <family val="2"/>
        <scheme val="minor"/>
      </rPr>
      <t xml:space="preserve"> per year.</t>
    </r>
  </si>
  <si>
    <t>1.4.  Pre- vs Post-Policy Periods (2010 - 2016 vs 2017-2024)</t>
  </si>
  <si>
    <t>The Analysis shows that Incidence counts declined more sharply post-policy (2017 to 2024) with a 58% drop compared to the 28% in the pre-policy era (2010 to 2016).</t>
  </si>
  <si>
    <t>1.2. Percentage Decline and Compound Annual Growth Rate</t>
  </si>
  <si>
    <t>PART 2: NIGERIA'S ART COVERAGE REPORT ANALYSIS (2010 - 2024)</t>
  </si>
  <si>
    <t>PART 1: NIGERIA'S HIV/AIDS INCIDENCE COUNT REPORT ANALYSIS (2010 - 2024)</t>
  </si>
  <si>
    <r>
      <t xml:space="preserve">NOTE: ALL ART VALUES ARE PRESENTED AS PERCENTAGE, </t>
    </r>
    <r>
      <rPr>
        <b/>
        <sz val="12"/>
        <color theme="0"/>
        <rFont val="Calibri"/>
        <family val="2"/>
        <scheme val="minor"/>
      </rPr>
      <t>NOT</t>
    </r>
    <r>
      <rPr>
        <b/>
        <sz val="11"/>
        <color theme="0"/>
        <rFont val="Calibri"/>
        <family val="2"/>
        <scheme val="minor"/>
      </rPr>
      <t xml:space="preserve"> COUNTS</t>
    </r>
  </si>
  <si>
    <t>2.1 Incidence vs ART Coverage Correlation</t>
  </si>
  <si>
    <r>
      <rPr>
        <b/>
        <sz val="12"/>
        <color theme="0"/>
        <rFont val="Calibri"/>
        <family val="2"/>
        <scheme val="minor"/>
      </rPr>
      <t>Chart 2.1</t>
    </r>
    <r>
      <rPr>
        <sz val="12"/>
        <color theme="0"/>
        <rFont val="Calibri"/>
        <family val="2"/>
        <scheme val="minor"/>
      </rPr>
      <t>: From 2010 to 2024, ART Coverage in Nigeria expanded from 19% to 87%, while Annual Hiv Incidence count declined from 110,000 to 31,000. The opposing trends highlights the pivotal role of ART scale-up in reducing new infections</t>
    </r>
  </si>
  <si>
    <t>2.2 Milestone Achievement in ART Coverage (2010 - 2024)</t>
  </si>
  <si>
    <t>Milestone Definition:</t>
  </si>
  <si>
    <t>70% to 80% Coverage : Reflects Strong program scale up and broad treatment  access</t>
  </si>
  <si>
    <t>95% Coverage : UNAIDS target for 2030 for those PLHIV on ART treatment</t>
  </si>
  <si>
    <t>50% Coverage : Reflects that Half of PLHIV are on ART treatment</t>
  </si>
  <si>
    <r>
      <rPr>
        <b/>
        <sz val="12"/>
        <color theme="0"/>
        <rFont val="Calibri"/>
        <family val="2"/>
        <scheme val="minor"/>
      </rPr>
      <t>Chart 2.2</t>
    </r>
    <r>
      <rPr>
        <sz val="12"/>
        <color theme="0"/>
        <rFont val="Calibri"/>
        <family val="2"/>
        <scheme val="minor"/>
      </rPr>
      <t>: Nigeria's ART Coverage rose steadily, surpassing key thresholds: above 50% in 2019, above 70% in 2022, and reaching 87% by 2024, thus placing the country close to the UNAIDS 95% coverage target by 2030.</t>
    </r>
  </si>
  <si>
    <t>2.3 Gap-to-Target Analysis</t>
  </si>
  <si>
    <t>Gap-to-Target = UNAIDS target % - Current Year ART coverage %</t>
  </si>
  <si>
    <t>UNAIDS Target</t>
  </si>
  <si>
    <t>Current ART Coverage</t>
  </si>
  <si>
    <t xml:space="preserve">Gap-to-Target </t>
  </si>
  <si>
    <t>REFERENCE</t>
  </si>
  <si>
    <t>VALUE</t>
  </si>
  <si>
    <t xml:space="preserve">Target Reference: UNAIDS targets an achievement of atleast 95% of People living with HIV to be on AntiRetroviral Therapy by 2030. </t>
  </si>
  <si>
    <t>PART 3: HIV/AIDS MORTALITY COUNT REPORT ANALYSIS (2010 - 2024)</t>
  </si>
  <si>
    <t>3.1 Top/Bottom Year Contribution and Share</t>
  </si>
  <si>
    <t>Grand Total</t>
  </si>
  <si>
    <t>Counts per year</t>
  </si>
  <si>
    <t>Indicator</t>
  </si>
  <si>
    <t>Count per year</t>
  </si>
  <si>
    <t>% Value</t>
  </si>
  <si>
    <t>Pre-Policy Period (2010 - 2016)</t>
  </si>
  <si>
    <t>Precentage per Year</t>
  </si>
  <si>
    <t>Running Total %</t>
  </si>
  <si>
    <r>
      <rPr>
        <b/>
        <sz val="12"/>
        <color theme="0"/>
        <rFont val="Calibri"/>
        <family val="2"/>
        <scheme val="minor"/>
      </rPr>
      <t>Chart 2.3: Nigeria's ART Coverage reached 87% in 2024, leaving an 8% Gap to achieve the UNAIDS 95% treatmeant target by 2030</t>
    </r>
    <r>
      <rPr>
        <sz val="12"/>
        <color theme="0"/>
        <rFont val="Calibri"/>
        <family val="2"/>
        <scheme val="minor"/>
      </rPr>
      <t>.</t>
    </r>
  </si>
  <si>
    <t>3.2 Lag Effect of ART Expansion on Mortality</t>
  </si>
  <si>
    <t>ART Coverage (%)</t>
  </si>
  <si>
    <t>Mortality Count</t>
  </si>
  <si>
    <t>Next Year M_Count</t>
  </si>
  <si>
    <t>M_Count x0.001</t>
  </si>
  <si>
    <t>Chart 3.1: Annual HIV-related deaths in Nigeria with the cummulative share of total deaths. The steep rise in the early years shows how a small cluster of years contributed most of the total deaths before the decline set in.</t>
  </si>
  <si>
    <t>Chart 3.2: The Chart shows the correlation between ART Coverage and Mortality count.</t>
  </si>
  <si>
    <r>
      <t xml:space="preserve"> The trendline equation </t>
    </r>
    <r>
      <rPr>
        <b/>
        <sz val="11"/>
        <color theme="1"/>
        <rFont val="Calibri"/>
        <family val="2"/>
        <scheme val="minor"/>
      </rPr>
      <t>(Y = -3.2396x + 78.44</t>
    </r>
    <r>
      <rPr>
        <sz val="11"/>
        <color theme="1"/>
        <rFont val="Calibri"/>
        <family val="2"/>
        <scheme val="minor"/>
      </rPr>
      <t xml:space="preserve">) shows </t>
    </r>
    <r>
      <rPr>
        <b/>
        <sz val="11"/>
        <color theme="1"/>
        <rFont val="Calibri"/>
        <family val="2"/>
        <scheme val="minor"/>
      </rPr>
      <t>a negative slope</t>
    </r>
    <r>
      <rPr>
        <sz val="11"/>
        <color theme="1"/>
        <rFont val="Calibri"/>
        <family val="2"/>
        <scheme val="minor"/>
      </rPr>
      <t xml:space="preserve">, meaning that each 1-point rise in ART coverage is associated with a decrease of roughly </t>
    </r>
    <r>
      <rPr>
        <b/>
        <sz val="11"/>
        <color theme="1"/>
        <rFont val="Calibri"/>
        <family val="2"/>
        <scheme val="minor"/>
      </rPr>
      <t>3,200 HIV-realted deaths</t>
    </r>
    <r>
      <rPr>
        <sz val="11"/>
        <color theme="1"/>
        <rFont val="Calibri"/>
        <family val="2"/>
        <scheme val="minor"/>
      </rPr>
      <t xml:space="preserve"> in the following year. With </t>
    </r>
    <r>
      <rPr>
        <b/>
        <sz val="11"/>
        <color theme="1"/>
        <rFont val="Calibri"/>
        <family val="2"/>
        <scheme val="minor"/>
      </rPr>
      <t>R</t>
    </r>
    <r>
      <rPr>
        <b/>
        <vertAlign val="superscript"/>
        <sz val="14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= 0.9357</t>
    </r>
    <r>
      <rPr>
        <sz val="11"/>
        <color theme="1"/>
        <rFont val="Calibri"/>
        <family val="2"/>
        <scheme val="minor"/>
      </rPr>
      <t>, and a correlation coefficient of</t>
    </r>
    <r>
      <rPr>
        <b/>
        <sz val="11"/>
        <color theme="1"/>
        <rFont val="Calibri"/>
        <family val="2"/>
        <scheme val="minor"/>
      </rPr>
      <t xml:space="preserve"> r = -0.9841</t>
    </r>
    <r>
      <rPr>
        <sz val="11"/>
        <color theme="1"/>
        <rFont val="Calibri"/>
        <family val="2"/>
        <scheme val="minor"/>
      </rPr>
      <t xml:space="preserve">, this indicates </t>
    </r>
    <r>
      <rPr>
        <b/>
        <sz val="11"/>
        <color theme="1"/>
        <rFont val="Calibri"/>
        <family val="2"/>
        <scheme val="minor"/>
      </rPr>
      <t>a very strong inverse relationship</t>
    </r>
    <r>
      <rPr>
        <sz val="11"/>
        <color theme="1"/>
        <rFont val="Calibri"/>
        <family val="2"/>
        <scheme val="minor"/>
      </rPr>
      <t xml:space="preserve"> between ART coverage and subsequent mortality.</t>
    </r>
  </si>
  <si>
    <t>3.3 Long Term Mortality Decline</t>
  </si>
  <si>
    <t>% change from 2010</t>
  </si>
  <si>
    <t>Chart 3.3: Shows Mortality Count having a consistent downward trajectory from 2010 - 2024, with year-on-year reductions translating to an overall 60% decline. This shows evidence of long term progress in controlling HIV-related deaths.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</si>
</sst>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FF9F"/>
        <bgColor indexed="64"/>
      </patternFill>
    </fill>
    <fill>
      <patternFill patternType="solid">
        <fgColor rgb="FF4FFF9F"/>
        <bgColor rgb="FF000000"/>
      </patternFill>
    </fill>
    <fill>
      <patternFill patternType="solid">
        <fgColor rgb="FFBDFFDB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BDFF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19" fillId="0" borderId="0" xfId="0" applyFont="1"/>
    <xf numFmtId="0" fontId="18" fillId="0" borderId="0" xfId="0" applyFont="1"/>
    <xf numFmtId="0" fontId="22" fillId="0" borderId="0" xfId="0" applyFont="1"/>
    <xf numFmtId="0" fontId="20" fillId="0" borderId="0" xfId="0" applyFont="1"/>
    <xf numFmtId="0" fontId="25" fillId="0" borderId="0" xfId="0" applyFont="1"/>
    <xf numFmtId="0" fontId="24" fillId="0" borderId="0" xfId="0" applyFont="1"/>
    <xf numFmtId="0" fontId="19" fillId="0" borderId="0" xfId="0" applyFont="1" applyAlignment="1">
      <alignment vertical="top"/>
    </xf>
    <xf numFmtId="0" fontId="21" fillId="34" borderId="0" xfId="0" applyFont="1" applyFill="1" applyAlignment="1">
      <alignment horizontal="center" vertical="top" wrapText="1"/>
    </xf>
    <xf numFmtId="0" fontId="26" fillId="34" borderId="0" xfId="0" applyFont="1" applyFill="1" applyAlignment="1">
      <alignment horizontal="center" vertical="top" wrapText="1"/>
    </xf>
    <xf numFmtId="0" fontId="21" fillId="35" borderId="0" xfId="0" applyFont="1" applyFill="1" applyAlignment="1">
      <alignment horizontal="center" vertical="top" wrapText="1"/>
    </xf>
    <xf numFmtId="0" fontId="26" fillId="35" borderId="0" xfId="0" applyFont="1" applyFill="1" applyAlignment="1">
      <alignment horizontal="center" vertical="top" wrapText="1"/>
    </xf>
    <xf numFmtId="0" fontId="27" fillId="36" borderId="0" xfId="0" applyFont="1" applyFill="1" applyAlignment="1">
      <alignment horizontal="left" vertical="top" wrapText="1"/>
    </xf>
    <xf numFmtId="0" fontId="27" fillId="36" borderId="0" xfId="0" applyFont="1" applyFill="1" applyAlignment="1">
      <alignment horizontal="right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right" vertical="top" wrapText="1"/>
    </xf>
    <xf numFmtId="0" fontId="28" fillId="36" borderId="0" xfId="0" applyFont="1" applyFill="1" applyAlignment="1">
      <alignment horizontal="right" vertical="top" wrapText="1"/>
    </xf>
    <xf numFmtId="0" fontId="28" fillId="0" borderId="0" xfId="0" applyFont="1" applyAlignment="1">
      <alignment horizontal="right" vertical="top" wrapText="1"/>
    </xf>
    <xf numFmtId="49" fontId="21" fillId="37" borderId="0" xfId="42" applyNumberFormat="1" applyFont="1" applyFill="1" applyAlignment="1">
      <alignment horizontal="center" vertical="top" wrapText="1"/>
    </xf>
    <xf numFmtId="49" fontId="26" fillId="37" borderId="0" xfId="42" applyNumberFormat="1" applyFont="1" applyFill="1" applyAlignment="1">
      <alignment horizontal="center" vertical="top" wrapText="1"/>
    </xf>
    <xf numFmtId="0" fontId="18" fillId="0" borderId="0" xfId="0" applyFont="1"/>
    <xf numFmtId="0" fontId="27" fillId="38" borderId="0" xfId="0" applyFont="1" applyFill="1" applyAlignment="1">
      <alignment horizontal="left" vertical="top" wrapText="1"/>
    </xf>
    <xf numFmtId="0" fontId="27" fillId="38" borderId="0" xfId="0" applyFont="1" applyFill="1" applyAlignment="1">
      <alignment horizontal="right" vertical="top" wrapText="1"/>
    </xf>
    <xf numFmtId="0" fontId="28" fillId="38" borderId="0" xfId="0" applyFont="1" applyFill="1" applyAlignment="1">
      <alignment horizontal="right" vertical="top" wrapText="1"/>
    </xf>
    <xf numFmtId="0" fontId="18" fillId="0" borderId="0" xfId="0" applyFont="1" applyAlignment="1"/>
    <xf numFmtId="1" fontId="27" fillId="0" borderId="0" xfId="0" applyNumberFormat="1" applyFont="1" applyAlignment="1">
      <alignment horizontal="right" vertical="top" wrapText="1"/>
    </xf>
    <xf numFmtId="0" fontId="30" fillId="0" borderId="0" xfId="0" applyFont="1" applyAlignment="1">
      <alignment horizontal="center"/>
    </xf>
    <xf numFmtId="0" fontId="0" fillId="0" borderId="0" xfId="0" pivotButton="1"/>
    <xf numFmtId="0" fontId="0" fillId="0" borderId="10" xfId="0" pivotButton="1" applyBorder="1"/>
    <xf numFmtId="0" fontId="0" fillId="0" borderId="10" xfId="0" applyBorder="1"/>
    <xf numFmtId="0" fontId="0" fillId="0" borderId="0" xfId="0" applyBorder="1"/>
    <xf numFmtId="0" fontId="0" fillId="0" borderId="11" xfId="0" pivotButton="1" applyBorder="1"/>
    <xf numFmtId="0" fontId="0" fillId="0" borderId="17" xfId="0" pivotButton="1" applyBorder="1"/>
    <xf numFmtId="0" fontId="0" fillId="0" borderId="18" xfId="0" applyBorder="1"/>
    <xf numFmtId="0" fontId="0" fillId="0" borderId="19" xfId="0" applyBorder="1"/>
    <xf numFmtId="0" fontId="0" fillId="0" borderId="18" xfId="0" applyNumberFormat="1" applyBorder="1"/>
    <xf numFmtId="0" fontId="0" fillId="0" borderId="15" xfId="0" pivotButton="1" applyBorder="1"/>
    <xf numFmtId="0" fontId="0" fillId="0" borderId="10" xfId="0" applyNumberFormat="1" applyBorder="1"/>
    <xf numFmtId="0" fontId="0" fillId="0" borderId="22" xfId="0" applyBorder="1" applyAlignment="1">
      <alignment horizontal="center"/>
    </xf>
    <xf numFmtId="0" fontId="2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NumberFormat="1" applyBorder="1"/>
    <xf numFmtId="0" fontId="0" fillId="0" borderId="0" xfId="0" applyFill="1" applyBorder="1"/>
    <xf numFmtId="0" fontId="29" fillId="0" borderId="0" xfId="0" applyFont="1" applyFill="1" applyBorder="1" applyAlignment="1">
      <alignment horizontal="center"/>
    </xf>
    <xf numFmtId="164" fontId="0" fillId="0" borderId="0" xfId="43" applyNumberFormat="1" applyFont="1"/>
    <xf numFmtId="10" fontId="0" fillId="0" borderId="10" xfId="0" applyNumberFormat="1" applyBorder="1"/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29" fillId="40" borderId="0" xfId="0" applyFont="1" applyFill="1"/>
    <xf numFmtId="0" fontId="0" fillId="0" borderId="0" xfId="0" applyAlignment="1">
      <alignment horizontal="left" vertical="center"/>
    </xf>
    <xf numFmtId="9" fontId="0" fillId="0" borderId="10" xfId="43" applyFont="1" applyBorder="1"/>
    <xf numFmtId="0" fontId="0" fillId="40" borderId="10" xfId="0" applyFill="1" applyBorder="1" applyAlignment="1">
      <alignment horizontal="center" vertical="center"/>
    </xf>
    <xf numFmtId="0" fontId="0" fillId="0" borderId="16" xfId="0" applyBorder="1"/>
    <xf numFmtId="10" fontId="0" fillId="0" borderId="17" xfId="0" applyNumberFormat="1" applyBorder="1"/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0" xfId="0" applyNumberFormat="1" applyBorder="1"/>
    <xf numFmtId="0" fontId="0" fillId="0" borderId="19" xfId="0" pivotButton="1" applyBorder="1"/>
    <xf numFmtId="0" fontId="0" fillId="0" borderId="23" xfId="0" applyBorder="1"/>
    <xf numFmtId="0" fontId="0" fillId="0" borderId="17" xfId="0" applyBorder="1"/>
    <xf numFmtId="0" fontId="0" fillId="0" borderId="11" xfId="0" applyBorder="1"/>
    <xf numFmtId="0" fontId="0" fillId="0" borderId="10" xfId="0" applyFont="1" applyBorder="1"/>
    <xf numFmtId="0" fontId="0" fillId="0" borderId="10" xfId="0" pivotButton="1" applyFont="1" applyBorder="1"/>
    <xf numFmtId="0" fontId="29" fillId="0" borderId="16" xfId="0" applyFont="1" applyFill="1" applyBorder="1" applyAlignment="1">
      <alignment horizontal="center" vertical="center"/>
    </xf>
    <xf numFmtId="0" fontId="29" fillId="0" borderId="18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3" fontId="0" fillId="0" borderId="17" xfId="0" applyNumberFormat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8" fillId="0" borderId="0" xfId="0" applyFont="1"/>
    <xf numFmtId="0" fontId="20" fillId="35" borderId="0" xfId="0" applyFont="1" applyFill="1" applyAlignment="1">
      <alignment horizontal="center" vertical="top" wrapText="1"/>
    </xf>
    <xf numFmtId="49" fontId="20" fillId="33" borderId="0" xfId="0" applyNumberFormat="1" applyFont="1" applyFill="1" applyAlignment="1">
      <alignment horizontal="center" vertical="top" wrapText="1"/>
    </xf>
    <xf numFmtId="49" fontId="20" fillId="37" borderId="0" xfId="42" applyNumberFormat="1" applyFont="1" applyFill="1" applyAlignment="1">
      <alignment horizontal="center" vertical="top" wrapText="1"/>
    </xf>
    <xf numFmtId="0" fontId="32" fillId="39" borderId="0" xfId="0" applyFont="1" applyFill="1" applyAlignment="1">
      <alignment horizontal="center" vertical="center" wrapText="1"/>
    </xf>
    <xf numFmtId="0" fontId="0" fillId="46" borderId="0" xfId="0" applyFont="1" applyFill="1" applyAlignment="1">
      <alignment horizontal="center" vertical="center" wrapText="1"/>
    </xf>
    <xf numFmtId="0" fontId="30" fillId="42" borderId="0" xfId="0" applyFont="1" applyFill="1" applyAlignment="1">
      <alignment horizontal="center"/>
    </xf>
    <xf numFmtId="0" fontId="0" fillId="45" borderId="10" xfId="0" applyFill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40" borderId="10" xfId="0" applyFill="1" applyBorder="1" applyAlignment="1">
      <alignment horizontal="center" vertical="center"/>
    </xf>
    <xf numFmtId="0" fontId="31" fillId="43" borderId="0" xfId="0" applyFont="1" applyFill="1" applyAlignment="1">
      <alignment horizontal="center"/>
    </xf>
    <xf numFmtId="0" fontId="13" fillId="44" borderId="0" xfId="0" applyFont="1" applyFill="1" applyAlignment="1">
      <alignment horizontal="center" vertical="center" wrapText="1"/>
    </xf>
    <xf numFmtId="0" fontId="0" fillId="45" borderId="10" xfId="0" applyFill="1" applyBorder="1" applyAlignment="1">
      <alignment horizontal="center" vertical="center" wrapText="1"/>
    </xf>
    <xf numFmtId="0" fontId="29" fillId="40" borderId="0" xfId="0" applyFont="1" applyFill="1" applyAlignment="1">
      <alignment horizontal="left"/>
    </xf>
    <xf numFmtId="0" fontId="29" fillId="41" borderId="0" xfId="0" applyFont="1" applyFill="1" applyAlignment="1">
      <alignment horizontal="left" vertical="center"/>
    </xf>
    <xf numFmtId="0" fontId="16" fillId="41" borderId="11" xfId="0" applyFont="1" applyFill="1" applyBorder="1" applyAlignment="1">
      <alignment horizontal="center" wrapText="1"/>
    </xf>
    <xf numFmtId="0" fontId="16" fillId="41" borderId="21" xfId="0" applyFont="1" applyFill="1" applyBorder="1" applyAlignment="1">
      <alignment horizontal="center" wrapText="1"/>
    </xf>
    <xf numFmtId="0" fontId="16" fillId="41" borderId="15" xfId="0" applyFont="1" applyFill="1" applyBorder="1" applyAlignment="1">
      <alignment horizontal="center" wrapText="1"/>
    </xf>
    <xf numFmtId="0" fontId="16" fillId="41" borderId="20" xfId="0" applyFont="1" applyFill="1" applyBorder="1" applyAlignment="1">
      <alignment horizontal="center" wrapText="1"/>
    </xf>
    <xf numFmtId="0" fontId="29" fillId="40" borderId="11" xfId="0" applyFont="1" applyFill="1" applyBorder="1" applyAlignment="1">
      <alignment horizontal="center" vertical="center"/>
    </xf>
    <xf numFmtId="0" fontId="29" fillId="40" borderId="15" xfId="0" applyFont="1" applyFill="1" applyBorder="1" applyAlignment="1">
      <alignment horizontal="center" vertical="center"/>
    </xf>
    <xf numFmtId="0" fontId="16" fillId="40" borderId="21" xfId="0" applyFont="1" applyFill="1" applyBorder="1" applyAlignment="1">
      <alignment horizontal="center" vertical="center"/>
    </xf>
    <xf numFmtId="0" fontId="16" fillId="40" borderId="20" xfId="0" applyFont="1" applyFill="1" applyBorder="1" applyAlignment="1">
      <alignment horizontal="center" vertical="center"/>
    </xf>
    <xf numFmtId="0" fontId="16" fillId="40" borderId="12" xfId="0" applyFont="1" applyFill="1" applyBorder="1" applyAlignment="1">
      <alignment horizontal="center" vertical="center"/>
    </xf>
    <xf numFmtId="0" fontId="16" fillId="40" borderId="16" xfId="0" applyFont="1" applyFill="1" applyBorder="1" applyAlignment="1">
      <alignment horizontal="center" vertical="center"/>
    </xf>
    <xf numFmtId="0" fontId="16" fillId="40" borderId="21" xfId="0" applyFont="1" applyFill="1" applyBorder="1" applyAlignment="1">
      <alignment horizontal="center"/>
    </xf>
    <xf numFmtId="0" fontId="16" fillId="40" borderId="20" xfId="0" applyFont="1" applyFill="1" applyBorder="1" applyAlignment="1">
      <alignment horizontal="center"/>
    </xf>
    <xf numFmtId="0" fontId="16" fillId="40" borderId="13" xfId="0" applyFont="1" applyFill="1" applyBorder="1" applyAlignment="1">
      <alignment horizontal="left"/>
    </xf>
    <xf numFmtId="0" fontId="16" fillId="40" borderId="0" xfId="0" applyFont="1" applyFill="1" applyBorder="1" applyAlignment="1">
      <alignment horizontal="left"/>
    </xf>
    <xf numFmtId="0" fontId="16" fillId="40" borderId="14" xfId="0" applyFont="1" applyFill="1" applyBorder="1" applyAlignment="1">
      <alignment horizontal="left"/>
    </xf>
    <xf numFmtId="0" fontId="16" fillId="40" borderId="13" xfId="0" applyFont="1" applyFill="1" applyBorder="1" applyAlignment="1">
      <alignment horizontal="left" vertical="center"/>
    </xf>
    <xf numFmtId="0" fontId="16" fillId="40" borderId="0" xfId="0" applyFont="1" applyFill="1" applyBorder="1" applyAlignment="1">
      <alignment horizontal="left" vertical="center"/>
    </xf>
    <xf numFmtId="0" fontId="16" fillId="40" borderId="14" xfId="0" applyFont="1" applyFill="1" applyBorder="1" applyAlignment="1">
      <alignment horizontal="left" vertical="center"/>
    </xf>
    <xf numFmtId="0" fontId="16" fillId="40" borderId="15" xfId="0" applyFont="1" applyFill="1" applyBorder="1" applyAlignment="1">
      <alignment horizontal="left" vertical="center"/>
    </xf>
    <xf numFmtId="0" fontId="16" fillId="40" borderId="20" xfId="0" applyFont="1" applyFill="1" applyBorder="1" applyAlignment="1">
      <alignment horizontal="left" vertical="center"/>
    </xf>
    <xf numFmtId="0" fontId="16" fillId="40" borderId="16" xfId="0" applyFont="1" applyFill="1" applyBorder="1" applyAlignment="1">
      <alignment horizontal="left" vertical="center"/>
    </xf>
    <xf numFmtId="0" fontId="29" fillId="0" borderId="11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29" fillId="41" borderId="12" xfId="43" applyNumberFormat="1" applyFont="1" applyFill="1" applyBorder="1" applyAlignment="1">
      <alignment horizontal="center" vertical="center"/>
    </xf>
    <xf numFmtId="164" fontId="29" fillId="41" borderId="16" xfId="43" applyNumberFormat="1" applyFont="1" applyFill="1" applyBorder="1" applyAlignment="1">
      <alignment horizontal="center" vertical="center"/>
    </xf>
    <xf numFmtId="0" fontId="29" fillId="0" borderId="11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29" fillId="41" borderId="0" xfId="0" applyFont="1" applyFill="1" applyAlignment="1">
      <alignment horizontal="center"/>
    </xf>
    <xf numFmtId="9" fontId="29" fillId="41" borderId="12" xfId="43" applyNumberFormat="1" applyFont="1" applyFill="1" applyBorder="1" applyAlignment="1">
      <alignment horizontal="center" vertical="center"/>
    </xf>
    <xf numFmtId="9" fontId="29" fillId="41" borderId="16" xfId="43" applyNumberFormat="1" applyFont="1" applyFill="1" applyBorder="1" applyAlignment="1">
      <alignment horizontal="center" vertical="center"/>
    </xf>
    <xf numFmtId="3" fontId="29" fillId="41" borderId="12" xfId="0" applyNumberFormat="1" applyFont="1" applyFill="1" applyBorder="1" applyAlignment="1">
      <alignment horizontal="center" vertical="center"/>
    </xf>
    <xf numFmtId="3" fontId="29" fillId="41" borderId="16" xfId="0" applyNumberFormat="1" applyFont="1" applyFill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29" fillId="40" borderId="0" xfId="0" applyFont="1" applyFill="1" applyAlignment="1">
      <alignment horizontal="left" wrapText="1"/>
    </xf>
    <xf numFmtId="0" fontId="29" fillId="0" borderId="11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16" fillId="0" borderId="10" xfId="0" pivotButton="1" applyFont="1" applyBorder="1"/>
    <xf numFmtId="0" fontId="16" fillId="0" borderId="19" xfId="0" applyFont="1" applyBorder="1"/>
    <xf numFmtId="0" fontId="16" fillId="0" borderId="10" xfId="0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 2" xfId="42" xr:uid="{00000000-0005-0000-0000-000025000000}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5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 val="0"/>
      </font>
    </dxf>
    <dxf>
      <font>
        <b val="0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alignment horizontal="center"/>
    </dxf>
    <dxf>
      <border>
        <horizontal style="thin">
          <color indexed="64"/>
        </horizontal>
      </border>
    </dxf>
    <dxf>
      <numFmt numFmtId="14" formatCode="0.00%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</border>
    </dxf>
    <dxf>
      <border>
        <left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4FFF9F"/>
      <color rgb="FFBDFFDB"/>
      <color rgb="FFE6D5F3"/>
      <color rgb="FFF6E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[HIV in Nigeria - Adult Incidence, ART coverage and Mortality trends UPDATED.xlsx]Pivot_Analysis!Incidence_1.1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Overall HIV/AIDS Incidence Trend</a:t>
            </a:r>
          </a:p>
        </c:rich>
      </c:tx>
      <c:layout>
        <c:manualLayout>
          <c:xMode val="edge"/>
          <c:yMode val="edge"/>
          <c:x val="0.34589297520816548"/>
          <c:y val="5.5219690459046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8.0169295077431563E-2"/>
          <c:y val="0.20139487179487178"/>
          <c:w val="0.76980191578616775"/>
          <c:h val="0.6729985511665354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Pivot_Analysis!$C$10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Pivot_Analysis!$B$11:$B$25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Pivot_Analysis!$C$11:$C$25</c:f>
              <c:numCache>
                <c:formatCode>#,##0</c:formatCode>
                <c:ptCount val="15"/>
                <c:pt idx="0">
                  <c:v>110000</c:v>
                </c:pt>
                <c:pt idx="1">
                  <c:v>110000</c:v>
                </c:pt>
                <c:pt idx="2">
                  <c:v>100000</c:v>
                </c:pt>
                <c:pt idx="3">
                  <c:v>94000</c:v>
                </c:pt>
                <c:pt idx="4">
                  <c:v>90000</c:v>
                </c:pt>
                <c:pt idx="5">
                  <c:v>86000</c:v>
                </c:pt>
                <c:pt idx="6">
                  <c:v>79000</c:v>
                </c:pt>
                <c:pt idx="7">
                  <c:v>73000</c:v>
                </c:pt>
                <c:pt idx="8">
                  <c:v>70000</c:v>
                </c:pt>
                <c:pt idx="9">
                  <c:v>66000</c:v>
                </c:pt>
                <c:pt idx="10">
                  <c:v>58000</c:v>
                </c:pt>
                <c:pt idx="11">
                  <c:v>53000</c:v>
                </c:pt>
                <c:pt idx="12">
                  <c:v>44000</c:v>
                </c:pt>
                <c:pt idx="13">
                  <c:v>41000</c:v>
                </c:pt>
                <c:pt idx="14">
                  <c:v>31000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6-4D06-8E2E-469790CDA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116719"/>
        <c:axId val="2099811775"/>
      </c:lineChart>
      <c:catAx>
        <c:axId val="204711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811775"/>
        <c:crosses val="autoZero"/>
        <c:auto val="1"/>
        <c:lblAlgn val="ctr"/>
        <c:lblOffset val="100"/>
        <c:noMultiLvlLbl val="0"/>
      </c:catAx>
      <c:valAx>
        <c:axId val="209981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11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[HIV in Nigeria - Adult Incidence, ART coverage and Mortality trends UPDATED.xlsx]Pivot_Analysis!PivotTable4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Percentage (%) Change From</a:t>
            </a:r>
            <a:r>
              <a:rPr lang="en-US" sz="14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Previous Year Incidence</a:t>
            </a:r>
            <a:r>
              <a:rPr lang="en-US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</a:t>
            </a:r>
          </a:p>
        </c:rich>
      </c:tx>
      <c:layout>
        <c:manualLayout>
          <c:xMode val="edge"/>
          <c:yMode val="edge"/>
          <c:x val="0.31220846797963536"/>
          <c:y val="5.37240593842251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727276134811079E-2"/>
          <c:y val="0.19790549269064367"/>
          <c:w val="0.84950075871680963"/>
          <c:h val="0.776256337736695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Pivot_Analysis!$C$64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Pivot_Analysis!$B$65:$B$79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Pivot_Analysis!$C$65:$C$79</c:f>
              <c:numCache>
                <c:formatCode>0.00%</c:formatCode>
                <c:ptCount val="15"/>
                <c:pt idx="1">
                  <c:v>0</c:v>
                </c:pt>
                <c:pt idx="2">
                  <c:v>-9.0909090909090912E-2</c:v>
                </c:pt>
                <c:pt idx="3">
                  <c:v>-0.06</c:v>
                </c:pt>
                <c:pt idx="4">
                  <c:v>-4.2553191489361701E-2</c:v>
                </c:pt>
                <c:pt idx="5">
                  <c:v>-4.4444444444444446E-2</c:v>
                </c:pt>
                <c:pt idx="6">
                  <c:v>-8.1395348837209308E-2</c:v>
                </c:pt>
                <c:pt idx="7">
                  <c:v>-7.5949367088607597E-2</c:v>
                </c:pt>
                <c:pt idx="8">
                  <c:v>-4.1095890410958902E-2</c:v>
                </c:pt>
                <c:pt idx="9">
                  <c:v>-5.7142857142857141E-2</c:v>
                </c:pt>
                <c:pt idx="10">
                  <c:v>-0.12121212121212122</c:v>
                </c:pt>
                <c:pt idx="11">
                  <c:v>-8.6206896551724144E-2</c:v>
                </c:pt>
                <c:pt idx="12">
                  <c:v>-0.16981132075471697</c:v>
                </c:pt>
                <c:pt idx="13">
                  <c:v>-6.8181818181818177E-2</c:v>
                </c:pt>
                <c:pt idx="14">
                  <c:v>-0.24390243902439024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0-49BE-ABD7-F634154D70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12474095"/>
        <c:axId val="721730319"/>
      </c:barChart>
      <c:catAx>
        <c:axId val="712474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30319"/>
        <c:crosses val="autoZero"/>
        <c:auto val="1"/>
        <c:lblAlgn val="ctr"/>
        <c:lblOffset val="100"/>
        <c:noMultiLvlLbl val="0"/>
      </c:catAx>
      <c:valAx>
        <c:axId val="721730319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71247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[HIV in Nigeria - Adult Incidence, ART coverage and Mortality trends UPDATED.xlsx]Pivot_Analysis!PivotTable1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Correlation</a:t>
            </a:r>
            <a:r>
              <a:rPr lang="en-US" b="1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Between ART Coverage (%) and Incidence Count (2010 - 2024)</a:t>
            </a:r>
          </a:p>
        </c:rich>
      </c:tx>
      <c:layout>
        <c:manualLayout>
          <c:xMode val="edge"/>
          <c:yMode val="edge"/>
          <c:x val="0.11653451348180213"/>
          <c:y val="4.25249080440718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7807699362401334E-2"/>
          <c:y val="0.1597873419756001"/>
          <c:w val="0.78214364242524204"/>
          <c:h val="0.57654650868830759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Pivot_Analysis!$C$127:$C$128</c:f>
              <c:strCache>
                <c:ptCount val="1"/>
                <c:pt idx="0">
                  <c:v>ART_Coverage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Pivot_Analysis!$B$129:$B$143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Pivot_Analysis!$C$129:$C$143</c:f>
              <c:numCache>
                <c:formatCode>General</c:formatCode>
                <c:ptCount val="15"/>
                <c:pt idx="0">
                  <c:v>19</c:v>
                </c:pt>
                <c:pt idx="1">
                  <c:v>21</c:v>
                </c:pt>
                <c:pt idx="2">
                  <c:v>27</c:v>
                </c:pt>
                <c:pt idx="3">
                  <c:v>33</c:v>
                </c:pt>
                <c:pt idx="4">
                  <c:v>37</c:v>
                </c:pt>
                <c:pt idx="5">
                  <c:v>41</c:v>
                </c:pt>
                <c:pt idx="6">
                  <c:v>46</c:v>
                </c:pt>
                <c:pt idx="7">
                  <c:v>49</c:v>
                </c:pt>
                <c:pt idx="8">
                  <c:v>49</c:v>
                </c:pt>
                <c:pt idx="9">
                  <c:v>56</c:v>
                </c:pt>
                <c:pt idx="10">
                  <c:v>62</c:v>
                </c:pt>
                <c:pt idx="11">
                  <c:v>68</c:v>
                </c:pt>
                <c:pt idx="12">
                  <c:v>75</c:v>
                </c:pt>
                <c:pt idx="13">
                  <c:v>81</c:v>
                </c:pt>
                <c:pt idx="14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1-49C4-A40D-DA8CCA01E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6080"/>
        <c:axId val="524899424"/>
      </c:lineChart>
      <c:lineChart>
        <c:grouping val="standard"/>
        <c:varyColors val="0"/>
        <c:ser>
          <c:idx val="1"/>
          <c:order val="1"/>
          <c:tx>
            <c:strRef>
              <c:f>Pivot_Analysis!$D$127:$D$128</c:f>
              <c:strCache>
                <c:ptCount val="1"/>
                <c:pt idx="0">
                  <c:v>Incidence_Count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Pivot_Analysis!$B$129:$B$143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Pivot_Analysis!$D$129:$D$143</c:f>
              <c:numCache>
                <c:formatCode>#,##0</c:formatCode>
                <c:ptCount val="15"/>
                <c:pt idx="0">
                  <c:v>110000</c:v>
                </c:pt>
                <c:pt idx="1">
                  <c:v>110000</c:v>
                </c:pt>
                <c:pt idx="2">
                  <c:v>100000</c:v>
                </c:pt>
                <c:pt idx="3">
                  <c:v>94000</c:v>
                </c:pt>
                <c:pt idx="4">
                  <c:v>90000</c:v>
                </c:pt>
                <c:pt idx="5">
                  <c:v>86000</c:v>
                </c:pt>
                <c:pt idx="6">
                  <c:v>79000</c:v>
                </c:pt>
                <c:pt idx="7">
                  <c:v>73000</c:v>
                </c:pt>
                <c:pt idx="8">
                  <c:v>70000</c:v>
                </c:pt>
                <c:pt idx="9">
                  <c:v>66000</c:v>
                </c:pt>
                <c:pt idx="10">
                  <c:v>58000</c:v>
                </c:pt>
                <c:pt idx="11">
                  <c:v>53000</c:v>
                </c:pt>
                <c:pt idx="12">
                  <c:v>44000</c:v>
                </c:pt>
                <c:pt idx="13">
                  <c:v>41000</c:v>
                </c:pt>
                <c:pt idx="14">
                  <c:v>31000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9-49E2-B991-ABFF8349B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752160"/>
        <c:axId val="219843312"/>
      </c:lineChart>
      <c:catAx>
        <c:axId val="1507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899424"/>
        <c:crosses val="autoZero"/>
        <c:auto val="1"/>
        <c:lblAlgn val="ctr"/>
        <c:lblOffset val="100"/>
        <c:noMultiLvlLbl val="0"/>
      </c:catAx>
      <c:valAx>
        <c:axId val="52489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4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rPr>
                  <a:t>ART Coverage (%)</a:t>
                </a:r>
              </a:p>
            </c:rich>
          </c:tx>
          <c:layout>
            <c:manualLayout>
              <c:xMode val="edge"/>
              <c:yMode val="edge"/>
              <c:x val="1.5234354497809821E-2"/>
              <c:y val="0.26041930005787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4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6080"/>
        <c:crosses val="autoZero"/>
        <c:crossBetween val="between"/>
      </c:valAx>
      <c:valAx>
        <c:axId val="2198433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4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rPr>
                  <a:t>Incidence Count</a:t>
                </a:r>
              </a:p>
            </c:rich>
          </c:tx>
          <c:layout>
            <c:manualLayout>
              <c:xMode val="edge"/>
              <c:yMode val="edge"/>
              <c:x val="0.94011459872393377"/>
              <c:y val="0.26667414480010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4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752160"/>
        <c:crosses val="max"/>
        <c:crossBetween val="between"/>
      </c:valAx>
      <c:catAx>
        <c:axId val="1165752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9843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884973120195369"/>
          <c:y val="0.8443448848172127"/>
          <c:w val="0.13541444882234868"/>
          <c:h val="0.11960214097844123"/>
        </c:manualLayout>
      </c:layout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60000"/>
        <a:lumOff val="40000"/>
        <a:alpha val="74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[HIV in Nigeria - Adult Incidence, ART coverage and Mortality trends UPDATED.xlsx]Pivot_Analysis!PivotTable9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Milestone Achivement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on ART Coverage in Nigeria (2010 - 2024)</a:t>
            </a:r>
          </a:p>
        </c:rich>
      </c:tx>
      <c:layout>
        <c:manualLayout>
          <c:xMode val="edge"/>
          <c:yMode val="edge"/>
          <c:x val="0.21290659615028762"/>
          <c:y val="4.04757410273276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75000"/>
              <a:alpha val="18000"/>
            </a:schemeClr>
          </a:solidFill>
          <a:ln>
            <a:solidFill>
              <a:schemeClr val="accent1">
                <a:alpha val="94000"/>
              </a:schemeClr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5">
              <a:lumMod val="75000"/>
            </a:schemeClr>
          </a:solidFill>
          <a:ln>
            <a:solidFill>
              <a:schemeClr val="accent1">
                <a:alpha val="94000"/>
              </a:schemeClr>
            </a:solidFill>
          </a:ln>
          <a:effectLst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solidFill>
              <a:schemeClr val="accent1">
                <a:alpha val="94000"/>
              </a:schemeClr>
            </a:solidFill>
          </a:ln>
          <a:effectLst/>
        </c:spPr>
      </c:pivotFmt>
      <c:pivotFmt>
        <c:idx val="3"/>
        <c:spPr>
          <a:solidFill>
            <a:schemeClr val="accent6"/>
          </a:solidFill>
          <a:ln>
            <a:solidFill>
              <a:schemeClr val="accent1">
                <a:alpha val="94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3517937905325802E-2"/>
          <c:y val="0.16577341180116498"/>
          <c:w val="0.91762787641787225"/>
          <c:h val="0.75256050225177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Pivot_Analysis!$C$160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  <a:alpha val="18000"/>
              </a:schemeClr>
            </a:solidFill>
            <a:ln>
              <a:solidFill>
                <a:schemeClr val="accent1">
                  <a:alpha val="94000"/>
                </a:schemeClr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1">
                    <a:alpha val="9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52-4342-A4B0-82DE51C9F70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1">
                    <a:alpha val="9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C52-4342-A4B0-82DE51C9F70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1">
                    <a:alpha val="9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52-4342-A4B0-82DE51C9F70F}"/>
              </c:ext>
            </c:extLst>
          </c:dPt>
          <c:cat>
            <c:strRef>
              <c:f>Pivot_Analysis!$B$161:$B$175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Pivot_Analysis!$C$161:$C$175</c:f>
              <c:numCache>
                <c:formatCode>General</c:formatCode>
                <c:ptCount val="15"/>
                <c:pt idx="0">
                  <c:v>19</c:v>
                </c:pt>
                <c:pt idx="1">
                  <c:v>21</c:v>
                </c:pt>
                <c:pt idx="2">
                  <c:v>27</c:v>
                </c:pt>
                <c:pt idx="3">
                  <c:v>33</c:v>
                </c:pt>
                <c:pt idx="4">
                  <c:v>37</c:v>
                </c:pt>
                <c:pt idx="5">
                  <c:v>41</c:v>
                </c:pt>
                <c:pt idx="6">
                  <c:v>46</c:v>
                </c:pt>
                <c:pt idx="7">
                  <c:v>49</c:v>
                </c:pt>
                <c:pt idx="8">
                  <c:v>49</c:v>
                </c:pt>
                <c:pt idx="9">
                  <c:v>56</c:v>
                </c:pt>
                <c:pt idx="10">
                  <c:v>62</c:v>
                </c:pt>
                <c:pt idx="11">
                  <c:v>68</c:v>
                </c:pt>
                <c:pt idx="12">
                  <c:v>75</c:v>
                </c:pt>
                <c:pt idx="13">
                  <c:v>81</c:v>
                </c:pt>
                <c:pt idx="1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2-4342-A4B0-82DE51C9F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axId val="532250880"/>
        <c:axId val="522326704"/>
      </c:barChart>
      <c:catAx>
        <c:axId val="532250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26704"/>
        <c:crosses val="autoZero"/>
        <c:auto val="1"/>
        <c:lblAlgn val="ctr"/>
        <c:lblOffset val="100"/>
        <c:noMultiLvlLbl val="0"/>
      </c:catAx>
      <c:valAx>
        <c:axId val="52232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5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ART Target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Coverage VS  ART Current Coverage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Pivot_Analysis!$D$193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20-4A8A-B82F-10CC2C06B68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A20-4A8A-B82F-10CC2C06B681}"/>
              </c:ext>
            </c:extLst>
          </c:dPt>
          <c:cat>
            <c:strRef>
              <c:f>Pivot_Analysis!$B$194:$B$195</c:f>
              <c:strCache>
                <c:ptCount val="2"/>
                <c:pt idx="0">
                  <c:v>UNAIDS Target</c:v>
                </c:pt>
                <c:pt idx="1">
                  <c:v>Current ART Coverage</c:v>
                </c:pt>
              </c:strCache>
            </c:strRef>
          </c:cat>
          <c:val>
            <c:numRef>
              <c:f>Pivot_Analysis!$D$194:$D$195</c:f>
              <c:numCache>
                <c:formatCode>0%</c:formatCode>
                <c:ptCount val="2"/>
                <c:pt idx="0">
                  <c:v>0.95</c:v>
                </c:pt>
                <c:pt idx="1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20-4A8A-B82F-10CC2C06B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271680"/>
        <c:axId val="6880688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Pivot_Analysis!$C$193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Pivot_Analysis!$B$194:$B$195</c15:sqref>
                        </c15:formulaRef>
                      </c:ext>
                    </c:extLst>
                    <c:strCache>
                      <c:ptCount val="2"/>
                      <c:pt idx="0">
                        <c:v>UNAIDS Target</c:v>
                      </c:pt>
                      <c:pt idx="1">
                        <c:v>Current ART Coverage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Pivot_Analysis!$C$194:$C$195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A20-4A8A-B82F-10CC2C06B681}"/>
                  </c:ext>
                </c:extLst>
              </c15:ser>
            </c15:filteredBarSeries>
          </c:ext>
        </c:extLst>
      </c:barChart>
      <c:catAx>
        <c:axId val="5322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68848"/>
        <c:crosses val="autoZero"/>
        <c:auto val="1"/>
        <c:lblAlgn val="ctr"/>
        <c:lblOffset val="100"/>
        <c:noMultiLvlLbl val="0"/>
      </c:catAx>
      <c:valAx>
        <c:axId val="688068848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7168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[HIV in Nigeria - Adult Incidence, ART coverage and Mortality trends UPDATED.xlsx]Pivot_Analysis!PivotTable5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Yearly Death Counts and Cumulative Share of Total</a:t>
            </a:r>
            <a:r>
              <a:rPr lang="en-US" sz="14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HIV Deaths</a:t>
            </a:r>
          </a:p>
        </c:rich>
      </c:tx>
      <c:layout>
        <c:manualLayout>
          <c:xMode val="edge"/>
          <c:yMode val="edge"/>
          <c:x val="0.16877882152865167"/>
          <c:y val="7.0360598065083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4474809933702941E-2"/>
          <c:y val="0.24386623176060779"/>
          <c:w val="0.72923467910858808"/>
          <c:h val="0.67115838752345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Pivot_Analysis!$C$212</c:f>
              <c:strCache>
                <c:ptCount val="1"/>
                <c:pt idx="0">
                  <c:v>Counts per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Pivot_Analysis!$B$213:$B$228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Pivot_Analysis!$C$213:$C$228</c:f>
              <c:numCache>
                <c:formatCode>#,##0</c:formatCode>
                <c:ptCount val="15"/>
                <c:pt idx="0">
                  <c:v>75000</c:v>
                </c:pt>
                <c:pt idx="1">
                  <c:v>78000</c:v>
                </c:pt>
                <c:pt idx="2">
                  <c:v>73000</c:v>
                </c:pt>
                <c:pt idx="3">
                  <c:v>66000</c:v>
                </c:pt>
                <c:pt idx="4">
                  <c:v>61000</c:v>
                </c:pt>
                <c:pt idx="5">
                  <c:v>59000</c:v>
                </c:pt>
                <c:pt idx="6">
                  <c:v>57000</c:v>
                </c:pt>
                <c:pt idx="7">
                  <c:v>55000</c:v>
                </c:pt>
                <c:pt idx="8">
                  <c:v>57000</c:v>
                </c:pt>
                <c:pt idx="9">
                  <c:v>57000</c:v>
                </c:pt>
                <c:pt idx="10">
                  <c:v>50000</c:v>
                </c:pt>
                <c:pt idx="11">
                  <c:v>43000</c:v>
                </c:pt>
                <c:pt idx="12">
                  <c:v>38000</c:v>
                </c:pt>
                <c:pt idx="13">
                  <c:v>34000</c:v>
                </c:pt>
                <c:pt idx="1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B-4147-8EBC-D9B6B50C0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230912"/>
        <c:axId val="307966864"/>
      </c:barChart>
      <c:lineChart>
        <c:grouping val="standard"/>
        <c:varyColors val="0"/>
        <c:ser>
          <c:idx val="1"/>
          <c:order val="1"/>
          <c:tx>
            <c:strRef>
              <c:f>Pivot_Analysis!$D$212</c:f>
              <c:strCache>
                <c:ptCount val="1"/>
                <c:pt idx="0">
                  <c:v>Running Total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Pivot_Analysis!$B$213:$B$228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Pivot_Analysis!$D$213:$D$228</c:f>
              <c:numCache>
                <c:formatCode>0.00%</c:formatCode>
                <c:ptCount val="15"/>
                <c:pt idx="0">
                  <c:v>9.003601440576231E-2</c:v>
                </c:pt>
                <c:pt idx="1">
                  <c:v>0.18367346938775511</c:v>
                </c:pt>
                <c:pt idx="2">
                  <c:v>0.27130852340936373</c:v>
                </c:pt>
                <c:pt idx="3">
                  <c:v>0.3505402160864346</c:v>
                </c:pt>
                <c:pt idx="4">
                  <c:v>0.42376950780312123</c:v>
                </c:pt>
                <c:pt idx="5">
                  <c:v>0.49459783913565425</c:v>
                </c:pt>
                <c:pt idx="6">
                  <c:v>0.56302521008403361</c:v>
                </c:pt>
                <c:pt idx="7">
                  <c:v>0.62905162064825926</c:v>
                </c:pt>
                <c:pt idx="8">
                  <c:v>0.69747899159663862</c:v>
                </c:pt>
                <c:pt idx="9">
                  <c:v>0.76590636254501798</c:v>
                </c:pt>
                <c:pt idx="10">
                  <c:v>0.82593037214885956</c:v>
                </c:pt>
                <c:pt idx="11">
                  <c:v>0.87755102040816324</c:v>
                </c:pt>
                <c:pt idx="12">
                  <c:v>0.92316926770708285</c:v>
                </c:pt>
                <c:pt idx="13">
                  <c:v>0.96398559423769503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B-4147-8EBC-D9B6B50C0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459840"/>
        <c:axId val="307995152"/>
      </c:lineChart>
      <c:catAx>
        <c:axId val="2272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966864"/>
        <c:crosses val="autoZero"/>
        <c:auto val="1"/>
        <c:lblAlgn val="ctr"/>
        <c:lblOffset val="100"/>
        <c:noMultiLvlLbl val="0"/>
      </c:catAx>
      <c:valAx>
        <c:axId val="30796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230912"/>
        <c:crosses val="autoZero"/>
        <c:crossBetween val="between"/>
      </c:valAx>
      <c:valAx>
        <c:axId val="307995152"/>
        <c:scaling>
          <c:orientation val="minMax"/>
          <c:max val="1.2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459840"/>
        <c:crosses val="max"/>
        <c:crossBetween val="between"/>
      </c:valAx>
      <c:catAx>
        <c:axId val="2069459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7995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82634513868493"/>
          <c:y val="3.6217702338658883E-2"/>
          <c:w val="0.14221753394256401"/>
          <c:h val="0.11521631036226014"/>
        </c:manualLayout>
      </c:layout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Lag</a:t>
            </a:r>
            <a:r>
              <a:rPr lang="en-US" b="1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Effect of ART Expansion on Mortality</a:t>
            </a:r>
            <a:endParaRPr lang="en-US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2823108186094011"/>
          <c:y val="3.3049313088243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049924498011229E-2"/>
          <c:y val="0.15322487780536947"/>
          <c:w val="0.81502748424975657"/>
          <c:h val="0.70683144915382701"/>
        </c:manualLayout>
      </c:layout>
      <c:scatterChart>
        <c:scatterStyle val="lineMarker"/>
        <c:varyColors val="0"/>
        <c:ser>
          <c:idx val="0"/>
          <c:order val="0"/>
          <c:tx>
            <c:strRef>
              <c:f>Pivot_Analysis!$C$237</c:f>
              <c:strCache>
                <c:ptCount val="1"/>
                <c:pt idx="0">
                  <c:v>ART Coverage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Pivot_Analysis!$C$238:$C$252</c:f>
              <c:numCache>
                <c:formatCode>General</c:formatCode>
                <c:ptCount val="15"/>
                <c:pt idx="0">
                  <c:v>19</c:v>
                </c:pt>
                <c:pt idx="1">
                  <c:v>21</c:v>
                </c:pt>
                <c:pt idx="2">
                  <c:v>27</c:v>
                </c:pt>
                <c:pt idx="3">
                  <c:v>33</c:v>
                </c:pt>
                <c:pt idx="4">
                  <c:v>37</c:v>
                </c:pt>
                <c:pt idx="5">
                  <c:v>41</c:v>
                </c:pt>
                <c:pt idx="6">
                  <c:v>46</c:v>
                </c:pt>
                <c:pt idx="7">
                  <c:v>49</c:v>
                </c:pt>
                <c:pt idx="8">
                  <c:v>49</c:v>
                </c:pt>
                <c:pt idx="9">
                  <c:v>56</c:v>
                </c:pt>
                <c:pt idx="10">
                  <c:v>62</c:v>
                </c:pt>
                <c:pt idx="11">
                  <c:v>68</c:v>
                </c:pt>
                <c:pt idx="12">
                  <c:v>75</c:v>
                </c:pt>
                <c:pt idx="13">
                  <c:v>81</c:v>
                </c:pt>
                <c:pt idx="14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4D-4F4D-B0CD-B833F940C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981040"/>
        <c:axId val="1708221840"/>
      </c:scatterChart>
      <c:scatterChart>
        <c:scatterStyle val="lineMarker"/>
        <c:varyColors val="0"/>
        <c:ser>
          <c:idx val="1"/>
          <c:order val="1"/>
          <c:tx>
            <c:strRef>
              <c:f>Pivot_Analysis!$F$237</c:f>
              <c:strCache>
                <c:ptCount val="1"/>
                <c:pt idx="0">
                  <c:v>M_Count x0.001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3980368937975022E-2"/>
                  <c:y val="4.279918573779013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y = -3.2396x + 78.44</a:t>
                    </a:r>
                    <a:br>
                      <a:rPr lang="en-US" sz="1000" baseline="0">
                        <a:solidFill>
                          <a:sysClr val="windowText" lastClr="000000"/>
                        </a:solidFill>
                      </a:rPr>
                    </a:br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R² = 0.9357</a:t>
                    </a:r>
                  </a:p>
                  <a:p>
                    <a:pPr>
                      <a:defRPr sz="1000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r = -0.9841</a:t>
                    </a:r>
                    <a:endParaRPr lang="en-US" sz="1000">
                      <a:solidFill>
                        <a:sysClr val="windowText" lastClr="00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Pivot_Analysis!$F$238:$F$252</c:f>
              <c:numCache>
                <c:formatCode>General</c:formatCode>
                <c:ptCount val="15"/>
                <c:pt idx="0">
                  <c:v>78</c:v>
                </c:pt>
                <c:pt idx="1">
                  <c:v>73</c:v>
                </c:pt>
                <c:pt idx="2">
                  <c:v>66</c:v>
                </c:pt>
                <c:pt idx="3">
                  <c:v>61</c:v>
                </c:pt>
                <c:pt idx="4">
                  <c:v>59</c:v>
                </c:pt>
                <c:pt idx="5">
                  <c:v>57</c:v>
                </c:pt>
                <c:pt idx="6">
                  <c:v>55</c:v>
                </c:pt>
                <c:pt idx="7">
                  <c:v>57</c:v>
                </c:pt>
                <c:pt idx="8">
                  <c:v>57</c:v>
                </c:pt>
                <c:pt idx="9">
                  <c:v>50</c:v>
                </c:pt>
                <c:pt idx="10">
                  <c:v>43</c:v>
                </c:pt>
                <c:pt idx="11">
                  <c:v>38</c:v>
                </c:pt>
                <c:pt idx="12">
                  <c:v>34</c:v>
                </c:pt>
                <c:pt idx="1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4D-4F4D-B0CD-B833F940C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511744"/>
        <c:axId val="1825510912"/>
      </c:scatterChart>
      <c:valAx>
        <c:axId val="16949810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708221840"/>
        <c:crosses val="autoZero"/>
        <c:crossBetween val="midCat"/>
      </c:valAx>
      <c:valAx>
        <c:axId val="170822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ART Coverage (%)</a:t>
                </a:r>
              </a:p>
            </c:rich>
          </c:tx>
          <c:layout>
            <c:manualLayout>
              <c:xMode val="edge"/>
              <c:yMode val="edge"/>
              <c:x val="1.5571774299460887E-2"/>
              <c:y val="0.338543371042946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981040"/>
        <c:crosses val="autoZero"/>
        <c:crossBetween val="midCat"/>
      </c:valAx>
      <c:valAx>
        <c:axId val="18255109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Mortality Count (x0.001)</a:t>
                </a:r>
              </a:p>
            </c:rich>
          </c:tx>
          <c:layout>
            <c:manualLayout>
              <c:xMode val="edge"/>
              <c:yMode val="edge"/>
              <c:x val="0.95466011571340537"/>
              <c:y val="0.279230263282017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511744"/>
        <c:crosses val="max"/>
        <c:crossBetween val="midCat"/>
      </c:valAx>
      <c:valAx>
        <c:axId val="1825511744"/>
        <c:scaling>
          <c:orientation val="minMax"/>
        </c:scaling>
        <c:delete val="1"/>
        <c:axPos val="b"/>
        <c:majorTickMark val="out"/>
        <c:minorTickMark val="none"/>
        <c:tickLblPos val="nextTo"/>
        <c:crossAx val="182551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[HIV in Nigeria - Adult Incidence, ART coverage and Mortality trends UPDATED.xlsx]Pivot_Analysis!PivotTable45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Long-Term</a:t>
            </a:r>
            <a:r>
              <a:rPr lang="en-US" b="1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Decline in HIV-related Deaths, Nigeria (2010 - 2024)</a:t>
            </a:r>
            <a:endParaRPr lang="en-US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22853185780483778"/>
          <c:y val="3.3217995493047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0079211062045773"/>
          <c:y val="0.13929354652524656"/>
          <c:w val="0.77574310967654703"/>
          <c:h val="0.60773964763931365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Pivot_Analysis!$C$266</c:f>
              <c:strCache>
                <c:ptCount val="1"/>
                <c:pt idx="0">
                  <c:v>Mortality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Pivot_Analysis!$B$267:$B$281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Pivot_Analysis!$C$267:$C$281</c:f>
              <c:numCache>
                <c:formatCode>General</c:formatCode>
                <c:ptCount val="15"/>
                <c:pt idx="0">
                  <c:v>75000</c:v>
                </c:pt>
                <c:pt idx="1">
                  <c:v>78000</c:v>
                </c:pt>
                <c:pt idx="2">
                  <c:v>73000</c:v>
                </c:pt>
                <c:pt idx="3">
                  <c:v>66000</c:v>
                </c:pt>
                <c:pt idx="4">
                  <c:v>61000</c:v>
                </c:pt>
                <c:pt idx="5">
                  <c:v>59000</c:v>
                </c:pt>
                <c:pt idx="6">
                  <c:v>57000</c:v>
                </c:pt>
                <c:pt idx="7">
                  <c:v>55000</c:v>
                </c:pt>
                <c:pt idx="8">
                  <c:v>57000</c:v>
                </c:pt>
                <c:pt idx="9">
                  <c:v>57000</c:v>
                </c:pt>
                <c:pt idx="10">
                  <c:v>50000</c:v>
                </c:pt>
                <c:pt idx="11">
                  <c:v>43000</c:v>
                </c:pt>
                <c:pt idx="12">
                  <c:v>38000</c:v>
                </c:pt>
                <c:pt idx="13">
                  <c:v>34000</c:v>
                </c:pt>
                <c:pt idx="14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0-4879-AE3D-D18975A12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4897664"/>
        <c:axId val="1766790816"/>
      </c:lineChart>
      <c:lineChart>
        <c:grouping val="standard"/>
        <c:varyColors val="0"/>
        <c:ser>
          <c:idx val="1"/>
          <c:order val="1"/>
          <c:tx>
            <c:strRef>
              <c:f>Pivot_Analysis!$D$266</c:f>
              <c:strCache>
                <c:ptCount val="1"/>
                <c:pt idx="0">
                  <c:v>% change from 2010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Pivot_Analysis!$B$267:$B$281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Pivot_Analysis!$D$267:$D$281</c:f>
              <c:numCache>
                <c:formatCode>0.00%</c:formatCode>
                <c:ptCount val="15"/>
                <c:pt idx="1">
                  <c:v>0.04</c:v>
                </c:pt>
                <c:pt idx="2">
                  <c:v>-2.6666666666666668E-2</c:v>
                </c:pt>
                <c:pt idx="3">
                  <c:v>-0.12</c:v>
                </c:pt>
                <c:pt idx="4">
                  <c:v>-0.18666666666666668</c:v>
                </c:pt>
                <c:pt idx="5">
                  <c:v>-0.21333333333333335</c:v>
                </c:pt>
                <c:pt idx="6">
                  <c:v>-0.24</c:v>
                </c:pt>
                <c:pt idx="7">
                  <c:v>-0.26666666666666666</c:v>
                </c:pt>
                <c:pt idx="8">
                  <c:v>-0.24</c:v>
                </c:pt>
                <c:pt idx="9">
                  <c:v>-0.24</c:v>
                </c:pt>
                <c:pt idx="10">
                  <c:v>-0.33333333333333331</c:v>
                </c:pt>
                <c:pt idx="11">
                  <c:v>-0.42666666666666669</c:v>
                </c:pt>
                <c:pt idx="12">
                  <c:v>-0.49333333333333335</c:v>
                </c:pt>
                <c:pt idx="13">
                  <c:v>-0.54666666666666663</c:v>
                </c:pt>
                <c:pt idx="14">
                  <c:v>-0.6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0-4879-AE3D-D18975A12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829008"/>
        <c:axId val="1815303344"/>
      </c:lineChart>
      <c:catAx>
        <c:axId val="9348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790816"/>
        <c:crosses val="autoZero"/>
        <c:auto val="1"/>
        <c:lblAlgn val="ctr"/>
        <c:lblOffset val="100"/>
        <c:noMultiLvlLbl val="0"/>
      </c:catAx>
      <c:valAx>
        <c:axId val="176679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Mortality Count</a:t>
                </a:r>
              </a:p>
            </c:rich>
          </c:tx>
          <c:layout>
            <c:manualLayout>
              <c:xMode val="edge"/>
              <c:yMode val="edge"/>
              <c:x val="1.3155641368314871E-2"/>
              <c:y val="0.305917685632795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897664"/>
        <c:crosses val="autoZero"/>
        <c:crossBetween val="between"/>
      </c:valAx>
      <c:valAx>
        <c:axId val="18153033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change from 2010</a:t>
                </a:r>
              </a:p>
            </c:rich>
          </c:tx>
          <c:layout>
            <c:manualLayout>
              <c:xMode val="edge"/>
              <c:yMode val="edge"/>
              <c:x val="0.95445306280628994"/>
              <c:y val="0.283772355304097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829008"/>
        <c:crosses val="max"/>
        <c:crossBetween val="between"/>
      </c:valAx>
      <c:catAx>
        <c:axId val="937829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5303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726022672062224"/>
          <c:y val="0.83549768578391859"/>
          <c:w val="0.1613696762278192"/>
          <c:h val="0.12456835496232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7</xdr:row>
      <xdr:rowOff>11906</xdr:rowOff>
    </xdr:from>
    <xdr:to>
      <xdr:col>15</xdr:col>
      <xdr:colOff>0</xdr:colOff>
      <xdr:row>24</xdr:row>
      <xdr:rowOff>180975</xdr:rowOff>
    </xdr:to>
    <xdr:graphicFrame macro="">
      <xdr:nvGraphicFramePr>
        <xdr:cNvPr id="2" name="Chart 1.1">
          <a:extLst>
            <a:ext uri="{FF2B5EF4-FFF2-40B4-BE49-F238E27FC236}">
              <a16:creationId xmlns:a16="http://schemas.microsoft.com/office/drawing/2014/main" id="{19ED56E7-61FE-4637-9E91-D5AAD3DFA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3970</xdr:colOff>
      <xdr:row>60</xdr:row>
      <xdr:rowOff>1</xdr:rowOff>
    </xdr:from>
    <xdr:to>
      <xdr:col>15</xdr:col>
      <xdr:colOff>595312</xdr:colOff>
      <xdr:row>79</xdr:row>
      <xdr:rowOff>178594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9702BE-7B55-4B46-994C-F006A3163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5952</xdr:colOff>
      <xdr:row>124</xdr:row>
      <xdr:rowOff>23813</xdr:rowOff>
    </xdr:from>
    <xdr:to>
      <xdr:col>15</xdr:col>
      <xdr:colOff>11906</xdr:colOff>
      <xdr:row>142</xdr:row>
      <xdr:rowOff>178595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94C149-C5B9-422D-9214-F48DAFED4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1063229</xdr:colOff>
      <xdr:row>157</xdr:row>
      <xdr:rowOff>0</xdr:rowOff>
    </xdr:from>
    <xdr:to>
      <xdr:col>12</xdr:col>
      <xdr:colOff>892969</xdr:colOff>
      <xdr:row>175</xdr:row>
      <xdr:rowOff>178593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A027FE-40C8-49A0-A583-132ABD611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17858</xdr:colOff>
      <xdr:row>183</xdr:row>
      <xdr:rowOff>188118</xdr:rowOff>
    </xdr:from>
    <xdr:to>
      <xdr:col>14</xdr:col>
      <xdr:colOff>11906</xdr:colOff>
      <xdr:row>197</xdr:row>
      <xdr:rowOff>11906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E91BD5-9456-4584-83EB-3B994B9CB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5953</xdr:colOff>
      <xdr:row>209</xdr:row>
      <xdr:rowOff>21431</xdr:rowOff>
    </xdr:from>
    <xdr:to>
      <xdr:col>13</xdr:col>
      <xdr:colOff>1000124</xdr:colOff>
      <xdr:row>228</xdr:row>
      <xdr:rowOff>11906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1374B6-0BCA-4DCA-8291-305A40520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17858</xdr:colOff>
      <xdr:row>236</xdr:row>
      <xdr:rowOff>9526</xdr:rowOff>
    </xdr:from>
    <xdr:to>
      <xdr:col>15</xdr:col>
      <xdr:colOff>607218</xdr:colOff>
      <xdr:row>252</xdr:row>
      <xdr:rowOff>11907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2384771-F86C-4E2A-B471-C1546E751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23810</xdr:colOff>
      <xdr:row>263</xdr:row>
      <xdr:rowOff>11906</xdr:rowOff>
    </xdr:from>
    <xdr:to>
      <xdr:col>14</xdr:col>
      <xdr:colOff>23812</xdr:colOff>
      <xdr:row>281</xdr:row>
      <xdr:rowOff>23812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36CB616-2D37-4826-87FF-B594F393E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22.554678356479" createdVersion="6" refreshedVersion="6" minRefreshableVersion="3" recordCount="135" xr:uid="{DAA8D52B-C716-4464-A8D0-7042A402083E}">
  <cacheSource type="worksheet">
    <worksheetSource name="Indicator_Table"/>
  </cacheSource>
  <cacheFields count="4">
    <cacheField name="Year" numFmtId="0">
      <sharedItems containsSemiMixedTypes="0" containsString="0" containsNumber="1" containsInteger="1" minValue="2010" maxValue="2024" count="15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Indicator" numFmtId="0">
      <sharedItems count="3">
        <s v="Mortality_Count"/>
        <s v="Incidence_Count"/>
        <s v="ART_Coverage"/>
      </sharedItems>
    </cacheField>
    <cacheField name="Type" numFmtId="0">
      <sharedItems count="3">
        <s v="Estimate"/>
        <s v="Low"/>
        <s v="High"/>
      </sharedItems>
    </cacheField>
    <cacheField name="Value" numFmtId="0">
      <sharedItems containsSemiMixedTypes="0" containsString="0" containsNumber="1" containsInteger="1" minValue="16" maxValue="1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x v="0"/>
    <x v="0"/>
    <x v="0"/>
    <n v="75000"/>
  </r>
  <r>
    <x v="0"/>
    <x v="0"/>
    <x v="1"/>
    <n v="63000"/>
  </r>
  <r>
    <x v="0"/>
    <x v="0"/>
    <x v="2"/>
    <n v="95000"/>
  </r>
  <r>
    <x v="0"/>
    <x v="1"/>
    <x v="0"/>
    <n v="110000"/>
  </r>
  <r>
    <x v="0"/>
    <x v="1"/>
    <x v="1"/>
    <n v="96000"/>
  </r>
  <r>
    <x v="0"/>
    <x v="1"/>
    <x v="2"/>
    <n v="130000"/>
  </r>
  <r>
    <x v="0"/>
    <x v="2"/>
    <x v="0"/>
    <n v="19"/>
  </r>
  <r>
    <x v="0"/>
    <x v="2"/>
    <x v="1"/>
    <n v="16"/>
  </r>
  <r>
    <x v="0"/>
    <x v="2"/>
    <x v="2"/>
    <n v="22"/>
  </r>
  <r>
    <x v="1"/>
    <x v="0"/>
    <x v="0"/>
    <n v="78000"/>
  </r>
  <r>
    <x v="1"/>
    <x v="0"/>
    <x v="1"/>
    <n v="66000"/>
  </r>
  <r>
    <x v="1"/>
    <x v="0"/>
    <x v="2"/>
    <n v="99000"/>
  </r>
  <r>
    <x v="1"/>
    <x v="1"/>
    <x v="0"/>
    <n v="110000"/>
  </r>
  <r>
    <x v="1"/>
    <x v="1"/>
    <x v="1"/>
    <n v="93000"/>
  </r>
  <r>
    <x v="1"/>
    <x v="1"/>
    <x v="2"/>
    <n v="130000"/>
  </r>
  <r>
    <x v="1"/>
    <x v="2"/>
    <x v="0"/>
    <n v="21"/>
  </r>
  <r>
    <x v="1"/>
    <x v="2"/>
    <x v="1"/>
    <n v="18"/>
  </r>
  <r>
    <x v="1"/>
    <x v="2"/>
    <x v="2"/>
    <n v="25"/>
  </r>
  <r>
    <x v="2"/>
    <x v="0"/>
    <x v="0"/>
    <n v="73000"/>
  </r>
  <r>
    <x v="2"/>
    <x v="0"/>
    <x v="1"/>
    <n v="62000"/>
  </r>
  <r>
    <x v="2"/>
    <x v="0"/>
    <x v="2"/>
    <n v="94000"/>
  </r>
  <r>
    <x v="2"/>
    <x v="1"/>
    <x v="0"/>
    <n v="100000"/>
  </r>
  <r>
    <x v="2"/>
    <x v="1"/>
    <x v="1"/>
    <n v="88000"/>
  </r>
  <r>
    <x v="2"/>
    <x v="1"/>
    <x v="2"/>
    <n v="130000"/>
  </r>
  <r>
    <x v="2"/>
    <x v="2"/>
    <x v="0"/>
    <n v="27"/>
  </r>
  <r>
    <x v="2"/>
    <x v="2"/>
    <x v="1"/>
    <n v="23"/>
  </r>
  <r>
    <x v="2"/>
    <x v="2"/>
    <x v="2"/>
    <n v="32"/>
  </r>
  <r>
    <x v="3"/>
    <x v="0"/>
    <x v="0"/>
    <n v="66000"/>
  </r>
  <r>
    <x v="3"/>
    <x v="0"/>
    <x v="1"/>
    <n v="55000"/>
  </r>
  <r>
    <x v="3"/>
    <x v="0"/>
    <x v="2"/>
    <n v="84000"/>
  </r>
  <r>
    <x v="3"/>
    <x v="1"/>
    <x v="0"/>
    <n v="94000"/>
  </r>
  <r>
    <x v="3"/>
    <x v="1"/>
    <x v="1"/>
    <n v="79000"/>
  </r>
  <r>
    <x v="3"/>
    <x v="1"/>
    <x v="2"/>
    <n v="120000"/>
  </r>
  <r>
    <x v="3"/>
    <x v="2"/>
    <x v="0"/>
    <n v="33"/>
  </r>
  <r>
    <x v="3"/>
    <x v="2"/>
    <x v="1"/>
    <n v="28"/>
  </r>
  <r>
    <x v="3"/>
    <x v="2"/>
    <x v="2"/>
    <n v="39"/>
  </r>
  <r>
    <x v="4"/>
    <x v="0"/>
    <x v="0"/>
    <n v="61000"/>
  </r>
  <r>
    <x v="4"/>
    <x v="0"/>
    <x v="1"/>
    <n v="50000"/>
  </r>
  <r>
    <x v="4"/>
    <x v="0"/>
    <x v="2"/>
    <n v="79000"/>
  </r>
  <r>
    <x v="4"/>
    <x v="1"/>
    <x v="0"/>
    <n v="90000"/>
  </r>
  <r>
    <x v="4"/>
    <x v="1"/>
    <x v="1"/>
    <n v="75000"/>
  </r>
  <r>
    <x v="4"/>
    <x v="1"/>
    <x v="2"/>
    <n v="110000"/>
  </r>
  <r>
    <x v="4"/>
    <x v="2"/>
    <x v="0"/>
    <n v="37"/>
  </r>
  <r>
    <x v="4"/>
    <x v="2"/>
    <x v="1"/>
    <n v="31"/>
  </r>
  <r>
    <x v="4"/>
    <x v="2"/>
    <x v="2"/>
    <n v="43"/>
  </r>
  <r>
    <x v="5"/>
    <x v="0"/>
    <x v="0"/>
    <n v="59000"/>
  </r>
  <r>
    <x v="5"/>
    <x v="0"/>
    <x v="1"/>
    <n v="48000"/>
  </r>
  <r>
    <x v="5"/>
    <x v="0"/>
    <x v="2"/>
    <n v="77000"/>
  </r>
  <r>
    <x v="5"/>
    <x v="1"/>
    <x v="0"/>
    <n v="86000"/>
  </r>
  <r>
    <x v="5"/>
    <x v="1"/>
    <x v="1"/>
    <n v="71000"/>
  </r>
  <r>
    <x v="5"/>
    <x v="1"/>
    <x v="2"/>
    <n v="110000"/>
  </r>
  <r>
    <x v="5"/>
    <x v="2"/>
    <x v="0"/>
    <n v="41"/>
  </r>
  <r>
    <x v="5"/>
    <x v="2"/>
    <x v="1"/>
    <n v="34"/>
  </r>
  <r>
    <x v="5"/>
    <x v="2"/>
    <x v="2"/>
    <n v="48"/>
  </r>
  <r>
    <x v="6"/>
    <x v="0"/>
    <x v="0"/>
    <n v="57000"/>
  </r>
  <r>
    <x v="6"/>
    <x v="0"/>
    <x v="1"/>
    <n v="46000"/>
  </r>
  <r>
    <x v="6"/>
    <x v="0"/>
    <x v="2"/>
    <n v="75000"/>
  </r>
  <r>
    <x v="6"/>
    <x v="1"/>
    <x v="0"/>
    <n v="79000"/>
  </r>
  <r>
    <x v="6"/>
    <x v="1"/>
    <x v="1"/>
    <n v="65000"/>
  </r>
  <r>
    <x v="6"/>
    <x v="1"/>
    <x v="2"/>
    <n v="100000"/>
  </r>
  <r>
    <x v="6"/>
    <x v="2"/>
    <x v="0"/>
    <n v="46"/>
  </r>
  <r>
    <x v="6"/>
    <x v="2"/>
    <x v="1"/>
    <n v="38"/>
  </r>
  <r>
    <x v="6"/>
    <x v="2"/>
    <x v="2"/>
    <n v="53"/>
  </r>
  <r>
    <x v="7"/>
    <x v="0"/>
    <x v="0"/>
    <n v="55000"/>
  </r>
  <r>
    <x v="7"/>
    <x v="0"/>
    <x v="1"/>
    <n v="45000"/>
  </r>
  <r>
    <x v="7"/>
    <x v="0"/>
    <x v="2"/>
    <n v="73000"/>
  </r>
  <r>
    <x v="7"/>
    <x v="1"/>
    <x v="0"/>
    <n v="73000"/>
  </r>
  <r>
    <x v="7"/>
    <x v="1"/>
    <x v="1"/>
    <n v="58000"/>
  </r>
  <r>
    <x v="7"/>
    <x v="1"/>
    <x v="2"/>
    <n v="96000"/>
  </r>
  <r>
    <x v="7"/>
    <x v="2"/>
    <x v="0"/>
    <n v="49"/>
  </r>
  <r>
    <x v="7"/>
    <x v="2"/>
    <x v="1"/>
    <n v="41"/>
  </r>
  <r>
    <x v="7"/>
    <x v="2"/>
    <x v="2"/>
    <n v="57"/>
  </r>
  <r>
    <x v="8"/>
    <x v="0"/>
    <x v="0"/>
    <n v="57000"/>
  </r>
  <r>
    <x v="8"/>
    <x v="0"/>
    <x v="1"/>
    <n v="46000"/>
  </r>
  <r>
    <x v="8"/>
    <x v="0"/>
    <x v="2"/>
    <n v="76000"/>
  </r>
  <r>
    <x v="8"/>
    <x v="1"/>
    <x v="0"/>
    <n v="70000"/>
  </r>
  <r>
    <x v="8"/>
    <x v="1"/>
    <x v="1"/>
    <n v="55000"/>
  </r>
  <r>
    <x v="8"/>
    <x v="1"/>
    <x v="2"/>
    <n v="91000"/>
  </r>
  <r>
    <x v="8"/>
    <x v="2"/>
    <x v="0"/>
    <n v="49"/>
  </r>
  <r>
    <x v="8"/>
    <x v="2"/>
    <x v="1"/>
    <n v="42"/>
  </r>
  <r>
    <x v="8"/>
    <x v="2"/>
    <x v="2"/>
    <n v="57"/>
  </r>
  <r>
    <x v="9"/>
    <x v="0"/>
    <x v="0"/>
    <n v="57000"/>
  </r>
  <r>
    <x v="9"/>
    <x v="0"/>
    <x v="1"/>
    <n v="46000"/>
  </r>
  <r>
    <x v="9"/>
    <x v="0"/>
    <x v="2"/>
    <n v="75000"/>
  </r>
  <r>
    <x v="9"/>
    <x v="1"/>
    <x v="0"/>
    <n v="66000"/>
  </r>
  <r>
    <x v="9"/>
    <x v="1"/>
    <x v="1"/>
    <n v="52000"/>
  </r>
  <r>
    <x v="9"/>
    <x v="1"/>
    <x v="2"/>
    <n v="86000"/>
  </r>
  <r>
    <x v="9"/>
    <x v="2"/>
    <x v="0"/>
    <n v="56"/>
  </r>
  <r>
    <x v="9"/>
    <x v="2"/>
    <x v="1"/>
    <n v="47"/>
  </r>
  <r>
    <x v="9"/>
    <x v="2"/>
    <x v="2"/>
    <n v="64"/>
  </r>
  <r>
    <x v="10"/>
    <x v="0"/>
    <x v="0"/>
    <n v="50000"/>
  </r>
  <r>
    <x v="10"/>
    <x v="0"/>
    <x v="1"/>
    <n v="41000"/>
  </r>
  <r>
    <x v="10"/>
    <x v="0"/>
    <x v="2"/>
    <n v="66000"/>
  </r>
  <r>
    <x v="10"/>
    <x v="1"/>
    <x v="0"/>
    <n v="58000"/>
  </r>
  <r>
    <x v="10"/>
    <x v="1"/>
    <x v="1"/>
    <n v="44000"/>
  </r>
  <r>
    <x v="10"/>
    <x v="1"/>
    <x v="2"/>
    <n v="77000"/>
  </r>
  <r>
    <x v="10"/>
    <x v="2"/>
    <x v="0"/>
    <n v="62"/>
  </r>
  <r>
    <x v="10"/>
    <x v="2"/>
    <x v="1"/>
    <n v="52"/>
  </r>
  <r>
    <x v="10"/>
    <x v="2"/>
    <x v="2"/>
    <n v="72"/>
  </r>
  <r>
    <x v="11"/>
    <x v="0"/>
    <x v="0"/>
    <n v="43000"/>
  </r>
  <r>
    <x v="11"/>
    <x v="0"/>
    <x v="1"/>
    <n v="35000"/>
  </r>
  <r>
    <x v="11"/>
    <x v="0"/>
    <x v="2"/>
    <n v="58000"/>
  </r>
  <r>
    <x v="11"/>
    <x v="1"/>
    <x v="0"/>
    <n v="53000"/>
  </r>
  <r>
    <x v="11"/>
    <x v="1"/>
    <x v="1"/>
    <n v="40000"/>
  </r>
  <r>
    <x v="11"/>
    <x v="1"/>
    <x v="2"/>
    <n v="72000"/>
  </r>
  <r>
    <x v="11"/>
    <x v="2"/>
    <x v="0"/>
    <n v="68"/>
  </r>
  <r>
    <x v="11"/>
    <x v="2"/>
    <x v="1"/>
    <n v="57"/>
  </r>
  <r>
    <x v="11"/>
    <x v="2"/>
    <x v="2"/>
    <n v="79"/>
  </r>
  <r>
    <x v="12"/>
    <x v="0"/>
    <x v="0"/>
    <n v="38000"/>
  </r>
  <r>
    <x v="12"/>
    <x v="0"/>
    <x v="1"/>
    <n v="31000"/>
  </r>
  <r>
    <x v="12"/>
    <x v="0"/>
    <x v="2"/>
    <n v="51000"/>
  </r>
  <r>
    <x v="12"/>
    <x v="1"/>
    <x v="0"/>
    <n v="44000"/>
  </r>
  <r>
    <x v="12"/>
    <x v="1"/>
    <x v="1"/>
    <n v="33000"/>
  </r>
  <r>
    <x v="12"/>
    <x v="1"/>
    <x v="2"/>
    <n v="61000"/>
  </r>
  <r>
    <x v="12"/>
    <x v="2"/>
    <x v="0"/>
    <n v="75"/>
  </r>
  <r>
    <x v="12"/>
    <x v="2"/>
    <x v="1"/>
    <n v="62"/>
  </r>
  <r>
    <x v="12"/>
    <x v="2"/>
    <x v="2"/>
    <n v="86"/>
  </r>
  <r>
    <x v="13"/>
    <x v="0"/>
    <x v="0"/>
    <n v="34000"/>
  </r>
  <r>
    <x v="13"/>
    <x v="0"/>
    <x v="1"/>
    <n v="28000"/>
  </r>
  <r>
    <x v="13"/>
    <x v="0"/>
    <x v="2"/>
    <n v="43000"/>
  </r>
  <r>
    <x v="13"/>
    <x v="1"/>
    <x v="0"/>
    <n v="41000"/>
  </r>
  <r>
    <x v="13"/>
    <x v="1"/>
    <x v="1"/>
    <n v="30000"/>
  </r>
  <r>
    <x v="13"/>
    <x v="1"/>
    <x v="2"/>
    <n v="57000"/>
  </r>
  <r>
    <x v="13"/>
    <x v="2"/>
    <x v="0"/>
    <n v="81"/>
  </r>
  <r>
    <x v="13"/>
    <x v="2"/>
    <x v="1"/>
    <n v="67"/>
  </r>
  <r>
    <x v="13"/>
    <x v="2"/>
    <x v="2"/>
    <n v="94"/>
  </r>
  <r>
    <x v="14"/>
    <x v="0"/>
    <x v="0"/>
    <n v="30000"/>
  </r>
  <r>
    <x v="14"/>
    <x v="0"/>
    <x v="1"/>
    <n v="25000"/>
  </r>
  <r>
    <x v="14"/>
    <x v="0"/>
    <x v="2"/>
    <n v="38000"/>
  </r>
  <r>
    <x v="14"/>
    <x v="1"/>
    <x v="0"/>
    <n v="31000"/>
  </r>
  <r>
    <x v="14"/>
    <x v="1"/>
    <x v="1"/>
    <n v="21000"/>
  </r>
  <r>
    <x v="14"/>
    <x v="1"/>
    <x v="2"/>
    <n v="44000"/>
  </r>
  <r>
    <x v="14"/>
    <x v="2"/>
    <x v="0"/>
    <n v="87"/>
  </r>
  <r>
    <x v="14"/>
    <x v="2"/>
    <x v="1"/>
    <n v="72"/>
  </r>
  <r>
    <x v="14"/>
    <x v="2"/>
    <x v="2"/>
    <n v="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DB9C8-1729-4467-98DE-65642722C382}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B49:C52" firstHeaderRow="1" firstDataRow="2" firstDataCol="1" rowPageCount="1" colPageCount="1"/>
  <pivotFields count="4">
    <pivotField axis="axisRow" compact="0" outline="0" showAll="0" defaultSubtotal="0">
      <items count="1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</items>
    </pivotField>
    <pivotField axis="axisPage" compact="0" outline="0" subtotalTop="0" showAll="0" defaultSubtotal="0">
      <items count="3">
        <item x="2"/>
        <item x="1"/>
        <item x="0"/>
      </items>
    </pivotField>
    <pivotField axis="axisCol" compact="0" outline="0" showAll="0" defaultSubtotal="0">
      <items count="3">
        <item x="0"/>
        <item h="1" x="2"/>
        <item h="1" x="1"/>
      </items>
    </pivotField>
    <pivotField dataField="1" compact="0" outline="0" showAll="0" defaultSubtotal="0"/>
  </pivotFields>
  <rowFields count="1">
    <field x="0"/>
  </rowFields>
  <rowItems count="2">
    <i>
      <x/>
    </i>
    <i>
      <x v="14"/>
    </i>
  </rowItems>
  <colFields count="1">
    <field x="2"/>
  </colFields>
  <colItems count="1">
    <i>
      <x/>
    </i>
  </colItems>
  <pageFields count="1">
    <pageField fld="1" item="1" hier="-1"/>
  </pageFields>
  <dataFields count="1">
    <dataField name="Sum of Value" fld="3" baseField="0" baseItem="0" numFmtId="3"/>
  </dataFields>
  <formats count="12"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0" count="0"/>
        </references>
      </pivotArea>
    </format>
    <format dxfId="17">
      <pivotArea dataOnly="0" labelOnly="1" outline="0" fieldPosition="0">
        <references count="1">
          <reference field="0" count="0"/>
        </references>
      </pivotArea>
    </format>
    <format dxfId="16">
      <pivotArea dataOnly="0" labelOnly="1" outline="0" fieldPosition="0">
        <references count="1">
          <reference field="0" count="0"/>
        </references>
      </pivotArea>
    </format>
    <format dxfId="15">
      <pivotArea type="origin" dataOnly="0" labelOnly="1" outline="0" fieldPosition="0"/>
    </format>
    <format dxfId="14">
      <pivotArea field="0" type="button" dataOnly="0" labelOnly="1" outline="0" axis="axisRow" fieldPosition="0"/>
    </format>
    <format dxfId="13">
      <pivotArea field="2" type="button" dataOnly="0" labelOnly="1" outline="0" axis="axisCol" fieldPosition="0"/>
    </format>
    <format dxfId="12">
      <pivotArea dataOnly="0" labelOnly="1" outline="0" fieldPosition="0">
        <references count="1">
          <reference field="2" count="0"/>
        </references>
      </pivotArea>
    </format>
    <format dxfId="11">
      <pivotArea outline="0" collapsedLevelsAreSubtotals="1" fieldPosition="0"/>
    </format>
    <format dxfId="10">
      <pivotArea field="1" type="button" dataOnly="0" labelOnly="1" outline="0" axis="axisPage" fieldPosition="0"/>
    </format>
    <format dxfId="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4378C-9F16-4731-8790-8CB1D70DAA3F}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B39:C42" firstHeaderRow="1" firstDataRow="2" firstDataCol="1" rowPageCount="1" colPageCount="1"/>
  <pivotFields count="4">
    <pivotField axis="axisRow" compact="0" outline="0" showAll="0" defaultSubtotal="0">
      <items count="1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</items>
    </pivotField>
    <pivotField axis="axisPage" compact="0" outline="0" subtotalTop="0" showAll="0" defaultSubtotal="0">
      <items count="3">
        <item x="2"/>
        <item x="1"/>
        <item x="0"/>
      </items>
    </pivotField>
    <pivotField axis="axisCol" compact="0" outline="0" showAll="0" defaultSubtotal="0">
      <items count="3">
        <item x="0"/>
        <item h="1" x="2"/>
        <item h="1" x="1"/>
      </items>
    </pivotField>
    <pivotField dataField="1" compact="0" outline="0" showAll="0" defaultSubtotal="0"/>
  </pivotFields>
  <rowFields count="1">
    <field x="0"/>
  </rowFields>
  <rowItems count="2">
    <i>
      <x/>
    </i>
    <i>
      <x v="14"/>
    </i>
  </rowItems>
  <colFields count="1">
    <field x="2"/>
  </colFields>
  <colItems count="1">
    <i>
      <x/>
    </i>
  </colItems>
  <pageFields count="1">
    <pageField fld="1" item="1" hier="-1"/>
  </pageFields>
  <dataFields count="1">
    <dataField name="Sum of Value" fld="3" baseField="0" baseItem="0" numFmtId="3"/>
  </dataFields>
  <formats count="12"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0" count="0"/>
        </references>
      </pivotArea>
    </format>
    <format dxfId="29">
      <pivotArea dataOnly="0" labelOnly="1" outline="0" fieldPosition="0">
        <references count="1">
          <reference field="0" count="0"/>
        </references>
      </pivotArea>
    </format>
    <format dxfId="28">
      <pivotArea dataOnly="0" labelOnly="1" outline="0" fieldPosition="0">
        <references count="1">
          <reference field="0" count="0"/>
        </references>
      </pivotArea>
    </format>
    <format dxfId="27">
      <pivotArea type="origin" dataOnly="0" labelOnly="1" outline="0" fieldPosition="0"/>
    </format>
    <format dxfId="26">
      <pivotArea field="0" type="button" dataOnly="0" labelOnly="1" outline="0" axis="axisRow" fieldPosition="0"/>
    </format>
    <format dxfId="25">
      <pivotArea field="2" type="button" dataOnly="0" labelOnly="1" outline="0" axis="axisCol" fieldPosition="0"/>
    </format>
    <format dxfId="24">
      <pivotArea dataOnly="0" labelOnly="1" outline="0" fieldPosition="0">
        <references count="1">
          <reference field="2" count="0"/>
        </references>
      </pivotArea>
    </format>
    <format dxfId="23">
      <pivotArea outline="0" collapsedLevelsAreSubtotals="1" fieldPosition="0"/>
    </format>
    <format dxfId="22">
      <pivotArea field="1" type="button" dataOnly="0" labelOnly="1" outline="0" axis="axisPage" fieldPosition="0"/>
    </format>
    <format dxfId="2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8518D-AB61-42DC-8E67-E5BCBB0E1329}" name="PivotTable9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5">
  <location ref="B160:C175" firstHeaderRow="1" firstDataRow="1" firstDataCol="1" rowPageCount="2" colPageCount="1"/>
  <pivotFields count="4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compact="0" outline="0" subtotalTop="0" multipleItemSelectionAllowed="1" showAll="0" defaultSubtotal="0">
      <items count="3">
        <item x="2"/>
        <item h="1" x="1"/>
        <item h="1" x="0"/>
      </items>
    </pivotField>
    <pivotField axis="axisPage" compact="0" outline="0" multipleItemSelectionAllowed="1" showAll="0" defaultSubtotal="0">
      <items count="3">
        <item x="0"/>
        <item h="1" x="2"/>
        <item h="1" x="1"/>
      </items>
    </pivotField>
    <pivotField dataField="1" compact="0" outlin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pageFields count="2">
    <pageField fld="2" hier="-1"/>
    <pageField fld="1" hier="-1"/>
  </pageFields>
  <dataFields count="1">
    <dataField name="Precentage per Year" fld="3" baseField="0" baseItem="0"/>
  </dataFields>
  <formats count="6">
    <format dxfId="38">
      <pivotArea type="origin" dataOnly="0" labelOnly="1" outline="0" fieldPosition="0"/>
    </format>
    <format dxfId="37">
      <pivotArea field="0" type="button" dataOnly="0" labelOnly="1" outline="0" axis="axisRow" fieldPosition="0"/>
    </format>
    <format dxfId="36">
      <pivotArea type="topRight" dataOnly="0" labelOnly="1" outline="0" fieldPosition="0"/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0" count="0"/>
        </references>
      </pivotArea>
    </format>
    <format dxfId="33">
      <pivotArea dataOnly="0" labelOnly="1" outline="0" axis="axisValues" fieldPosition="0"/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E2DBF-19DD-45D5-BFA6-2F4CBE76F4C0}" name="Incidence_1.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B10:C25" firstHeaderRow="1" firstDataRow="1" firstDataCol="1" rowPageCount="2" colPageCount="1"/>
  <pivotFields count="4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compact="0" outline="0" subtotalTop="0" showAll="0" defaultSubtotal="0">
      <items count="3">
        <item x="2"/>
        <item x="1"/>
        <item x="0"/>
      </items>
    </pivotField>
    <pivotField axis="axisPage" compact="0" outline="0" multipleItemSelectionAllowed="1" showAll="0" defaultSubtotal="0">
      <items count="3">
        <item x="0"/>
        <item h="1" x="2"/>
        <item h="1" x="1"/>
      </items>
    </pivotField>
    <pivotField dataField="1" compact="0" outlin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pageFields count="2">
    <pageField fld="1" item="1" hier="-1"/>
    <pageField fld="2" hier="-1"/>
  </pageFields>
  <dataFields count="1">
    <dataField name="Count per year" fld="3" baseField="0" baseItem="0" numFmtId="3"/>
  </dataFields>
  <formats count="12"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fieldPosition="0">
        <references count="1">
          <reference field="0" count="0"/>
        </references>
      </pivotArea>
    </format>
    <format dxfId="47">
      <pivotArea dataOnly="0" labelOnly="1" outline="0" fieldPosition="0">
        <references count="1">
          <reference field="0" count="0"/>
        </references>
      </pivotArea>
    </format>
    <format dxfId="46">
      <pivotArea dataOnly="0" labelOnly="1" outline="0" fieldPosition="0">
        <references count="1">
          <reference field="0" count="0"/>
        </references>
      </pivotArea>
    </format>
    <format dxfId="45">
      <pivotArea type="origin" dataOnly="0" labelOnly="1" outline="0" fieldPosition="0"/>
    </format>
    <format dxfId="44">
      <pivotArea field="0" type="button" dataOnly="0" labelOnly="1" outline="0" axis="axisRow" fieldPosition="0"/>
    </format>
    <format dxfId="43">
      <pivotArea field="2" type="button" dataOnly="0" labelOnly="1" outline="0" axis="axisPage" fieldPosition="1"/>
    </format>
    <format dxfId="42">
      <pivotArea dataOnly="0" labelOnly="1" outline="0" fieldPosition="0">
        <references count="1">
          <reference field="2" count="0"/>
        </references>
      </pivotArea>
    </format>
    <format dxfId="41">
      <pivotArea field="1" type="button" dataOnly="0" labelOnly="1" outline="0" axis="axisPage" fieldPosition="0"/>
    </format>
    <format dxfId="40">
      <pivotArea dataOnly="0" labelOnly="1" outline="0" axis="axisValues" fieldPosition="0"/>
    </format>
    <format dxfId="39">
      <pivotArea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86BAD-3F0D-4E72-85A6-2AFE36145648}" name="PivotTable8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2">
  <location ref="J93:K101" firstHeaderRow="1" firstDataRow="1" firstDataCol="1" rowPageCount="2" colPageCount="1"/>
  <pivotFields count="4">
    <pivotField axis="axisRow" compact="0" outline="0" showAll="0" defaultSubtotal="0">
      <items count="15">
        <item h="1" x="0"/>
        <item h="1" x="1"/>
        <item h="1" x="2"/>
        <item h="1" x="3"/>
        <item h="1" x="4"/>
        <item h="1" x="5"/>
        <item h="1" x="6"/>
        <item x="7"/>
        <item x="8"/>
        <item x="9"/>
        <item x="10"/>
        <item x="11"/>
        <item x="12"/>
        <item x="13"/>
        <item x="14"/>
      </items>
    </pivotField>
    <pivotField axis="axisPage" compact="0" outline="0" subtotalTop="0" showAll="0" defaultSubtotal="0">
      <items count="3">
        <item x="2"/>
        <item x="1"/>
        <item x="0"/>
      </items>
    </pivotField>
    <pivotField axis="axisPage" compact="0" outline="0" multipleItemSelectionAllowed="1" showAll="0" defaultSubtotal="0">
      <items count="3">
        <item x="0"/>
        <item h="1" x="2"/>
        <item h="1" x="1"/>
      </items>
    </pivotField>
    <pivotField dataField="1" compact="0" outline="0" showAll="0" defaultSubtotal="0"/>
  </pivotFields>
  <rowFields count="1">
    <field x="0"/>
  </rowFields>
  <rowItems count="8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pageFields count="2">
    <pageField fld="1" item="1" hier="-1"/>
    <pageField fld="2" hier="-1"/>
  </pageFields>
  <dataFields count="1">
    <dataField name="Sum of Value" fld="3" baseField="0" baseItem="0" numFmtId="3"/>
  </dataFields>
  <formats count="11">
    <format dxfId="61">
      <pivotArea type="all" dataOnly="0" outline="0" fieldPosition="0"/>
    </format>
    <format dxfId="60">
      <pivotArea outline="0" collapsedLevelsAreSubtotals="1" fieldPosition="0"/>
    </format>
    <format dxfId="59">
      <pivotArea dataOnly="0" labelOnly="1" outline="0" fieldPosition="0">
        <references count="1">
          <reference field="0" count="0"/>
        </references>
      </pivotArea>
    </format>
    <format dxfId="58">
      <pivotArea dataOnly="0" labelOnly="1" outline="0" fieldPosition="0">
        <references count="1">
          <reference field="0" count="0"/>
        </references>
      </pivotArea>
    </format>
    <format dxfId="57">
      <pivotArea dataOnly="0" labelOnly="1" outline="0" fieldPosition="0">
        <references count="1">
          <reference field="0" count="0"/>
        </references>
      </pivotArea>
    </format>
    <format dxfId="56">
      <pivotArea type="origin" dataOnly="0" labelOnly="1" outline="0" fieldPosition="0"/>
    </format>
    <format dxfId="55">
      <pivotArea field="0" type="button" dataOnly="0" labelOnly="1" outline="0" axis="axisRow" fieldPosition="0"/>
    </format>
    <format dxfId="54">
      <pivotArea field="2" type="button" dataOnly="0" labelOnly="1" outline="0" axis="axisPage" fieldPosition="1"/>
    </format>
    <format dxfId="53">
      <pivotArea dataOnly="0" labelOnly="1" outline="0" fieldPosition="0">
        <references count="1">
          <reference field="2" count="0"/>
        </references>
      </pivotArea>
    </format>
    <format dxfId="52">
      <pivotArea outline="0" collapsedLevelsAreSubtotals="1" fieldPosition="0"/>
    </format>
    <format dxfId="51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42747-DB4B-4AD4-8AF8-080508F3F571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B127:D143" firstHeaderRow="1" firstDataRow="2" firstDataCol="1" rowPageCount="1" colPageCount="1"/>
  <pivotFields count="4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Col" compact="0" outline="0" subtotalTop="0" showAll="0" defaultSubtotal="0">
      <items count="3">
        <item x="2"/>
        <item x="1"/>
        <item h="1" x="0"/>
      </items>
    </pivotField>
    <pivotField axis="axisPage" compact="0" outline="0" multipleItemSelectionAllowed="1" showAll="0" defaultSubtotal="0">
      <items count="3">
        <item x="0"/>
        <item h="1" x="2"/>
        <item h="1" x="1"/>
      </items>
    </pivotField>
    <pivotField dataField="1" compact="0" outlin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2">
    <i>
      <x/>
    </i>
    <i>
      <x v="1"/>
    </i>
  </colItems>
  <pageFields count="1">
    <pageField fld="2" hier="-1"/>
  </pageFields>
  <dataFields count="1">
    <dataField name="Sum of Value" fld="3" baseField="0" baseItem="0"/>
  </dataFields>
  <formats count="13"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outline="0" fieldPosition="0">
        <references count="1">
          <reference field="0" count="0"/>
        </references>
      </pivotArea>
    </format>
    <format dxfId="71">
      <pivotArea type="origin" dataOnly="0" labelOnly="1" outline="0" fieldPosition="0"/>
    </format>
    <format dxfId="70">
      <pivotArea field="1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0" type="button" dataOnly="0" labelOnly="1" outline="0" axis="axisRow" fieldPosition="0"/>
    </format>
    <format dxfId="67">
      <pivotArea dataOnly="0" labelOnly="1" outline="0" fieldPosition="0">
        <references count="1">
          <reference field="1" count="0"/>
        </references>
      </pivotArea>
    </format>
    <format dxfId="66">
      <pivotArea field="1" type="button" dataOnly="0" labelOnly="1" outline="0" axis="axisCol" fieldPosition="0"/>
    </format>
    <format dxfId="65">
      <pivotArea dataOnly="0" labelOnly="1" outline="0" fieldPosition="0">
        <references count="1">
          <reference field="1" count="1">
            <x v="0"/>
          </reference>
        </references>
      </pivotArea>
    </format>
    <format dxfId="64">
      <pivotArea outline="0" collapsedLevelsAreSubtotals="1" fieldPosition="0"/>
    </format>
    <format dxfId="63">
      <pivotArea dataOnly="0" labelOnly="1" outline="0" fieldPosition="0">
        <references count="1">
          <reference field="0" count="0"/>
        </references>
      </pivotArea>
    </format>
    <format dxfId="62">
      <pivotArea outline="0" fieldPosition="0">
        <references count="1">
          <reference field="1" count="1" selected="0">
            <x v="1"/>
          </reference>
        </references>
      </pivotArea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0345E-E815-42C5-A31E-78F1A9A3B6EC}" name="PivotTable4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7">
  <location ref="B266:D281" firstHeaderRow="0" firstDataRow="1" firstDataCol="1" rowPageCount="2" colPageCount="1"/>
  <pivotFields count="4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compact="0" outline="0" subtotalTop="0" multipleItemSelectionAllowed="1" showAll="0" defaultSubtotal="0">
      <items count="3">
        <item h="1" x="2"/>
        <item h="1" x="1"/>
        <item x="0"/>
      </items>
    </pivotField>
    <pivotField axis="axisPage" compact="0" outline="0" multipleItemSelectionAllowed="1" showAll="0" defaultSubtotal="0">
      <items count="3">
        <item x="0"/>
        <item h="1" x="2"/>
        <item h="1" x="1"/>
      </items>
    </pivotField>
    <pivotField dataField="1" compact="0" outlin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2">
    <i>
      <x/>
    </i>
    <i i="1">
      <x v="1"/>
    </i>
  </colItems>
  <pageFields count="2">
    <pageField fld="2" hier="-1"/>
    <pageField fld="1" hier="-1"/>
  </pageFields>
  <dataFields count="2">
    <dataField name="Mortality Count" fld="3" baseField="0" baseItem="0"/>
    <dataField name="% change from 2010" fld="3" showDataAs="percentDiff" baseField="0" baseItem="0" numFmtId="10"/>
  </dataFields>
  <formats count="16">
    <format dxfId="90">
      <pivotArea type="origin" dataOnly="0" labelOnly="1" outline="0" fieldPosition="0"/>
    </format>
    <format dxfId="89">
      <pivotArea field="0" type="button" dataOnly="0" labelOnly="1" outline="0" axis="axisRow" fieldPosition="0"/>
    </format>
    <format dxfId="88">
      <pivotArea type="topRight" dataOnly="0" labelOnly="1" outline="0" fieldPosition="0"/>
    </format>
    <format dxfId="87">
      <pivotArea outline="0" collapsedLevelsAreSubtotals="1" fieldPosition="0"/>
    </format>
    <format dxfId="86">
      <pivotArea dataOnly="0" labelOnly="1" outline="0" fieldPosition="0">
        <references count="1">
          <reference field="0" count="0"/>
        </references>
      </pivotArea>
    </format>
    <format dxfId="85">
      <pivotArea dataOnly="0" labelOnly="1" outline="0" axis="axisValues" fieldPosition="0"/>
    </format>
    <format dxfId="84">
      <pivotArea outline="0" fieldPosition="0">
        <references count="1">
          <reference field="4294967294" count="1">
            <x v="1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0" type="button" dataOnly="0" labelOnly="1" outline="0" axis="axisRow" fieldPosition="0"/>
    </format>
    <format dxfId="80">
      <pivotArea dataOnly="0" labelOnly="1" outline="0" fieldPosition="0">
        <references count="1">
          <reference field="0" count="0"/>
        </references>
      </pivotArea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field="0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6">
      <pivotArea field="0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94D7C-F550-4475-B552-12869AA230FD}" name="PivotTable5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 chartFormat="7">
  <location ref="B212:D228" firstHeaderRow="0" firstDataRow="1" firstDataCol="1" rowPageCount="2" colPageCount="1"/>
  <pivotFields count="4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compact="0" outline="0" subtotalTop="0" showAll="0" defaultSubtotal="0">
      <items count="3">
        <item x="2"/>
        <item x="1"/>
        <item x="0"/>
      </items>
    </pivotField>
    <pivotField axis="axisPage" compact="0" outline="0" multipleItemSelectionAllowed="1" showAll="0" defaultSubtotal="0">
      <items count="3">
        <item x="0"/>
        <item h="1" x="2"/>
        <item h="1" x="1"/>
      </items>
    </pivotField>
    <pivotField dataField="1" compact="0" outline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1" item="2" hier="-1"/>
  </pageFields>
  <dataFields count="2">
    <dataField name="Counts per year" fld="3" baseField="0" baseItem="0"/>
    <dataField name="Running Total %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4">
    <format dxfId="114">
      <pivotArea type="topRight" dataOnly="0" labelOnly="1" outline="0" fieldPosition="0"/>
    </format>
    <format dxfId="113">
      <pivotArea outline="0" collapsedLevelsAreSubtotals="1" fieldPosition="0"/>
    </format>
    <format dxfId="112">
      <pivotArea dataOnly="0" labelOnly="1" outline="0" fieldPosition="0">
        <references count="1">
          <reference field="0" count="0"/>
        </references>
      </pivotArea>
    </format>
    <format dxfId="111">
      <pivotArea outline="0" collapsedLevelsAreSubtotals="1" fieldPosition="0"/>
    </format>
    <format dxfId="110">
      <pivotArea dataOnly="0" labelOnly="1" outline="0" fieldPosition="0">
        <references count="1">
          <reference field="0" count="0"/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-2" type="button" dataOnly="0" labelOnly="1" outline="0" axis="axisCol" fieldPosition="0"/>
    </format>
    <format dxfId="105">
      <pivotArea field="0" type="button" dataOnly="0" labelOnly="1" outline="0" axis="axisRow" fieldPosition="0"/>
    </format>
    <format dxfId="104">
      <pivotArea grandRow="1" outline="0" collapsedLevelsAreSubtotals="1" fieldPosition="0"/>
    </format>
    <format dxfId="103">
      <pivotArea dataOnly="0" labelOnly="1" grandRow="1" outline="0" fieldPosition="0"/>
    </format>
    <format dxfId="102">
      <pivotArea outline="0" fieldPosition="0">
        <references count="1">
          <reference field="0" count="0" selected="0"/>
        </references>
      </pivotArea>
    </format>
    <format dxfId="101">
      <pivotArea dataOnly="0" labelOnly="1" outline="0" fieldPosition="0">
        <references count="1">
          <reference field="0" count="0"/>
        </references>
      </pivotArea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0" type="button" dataOnly="0" labelOnly="1" outline="0" axis="axisRow" fieldPosition="0"/>
    </format>
    <format dxfId="97">
      <pivotArea dataOnly="0" labelOnly="1" outline="0" fieldPosition="0">
        <references count="1">
          <reference field="0" count="0"/>
        </references>
      </pivotArea>
    </format>
    <format dxfId="96">
      <pivotArea dataOnly="0" labelOnly="1" grandRow="1" outline="0" fieldPosition="0"/>
    </format>
    <format dxfId="95">
      <pivotArea outline="0" fieldPosition="0">
        <references count="1">
          <reference field="4294967294" count="1">
            <x v="1"/>
          </reference>
        </references>
      </pivotArea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  <format dxfId="91">
      <pivotArea outline="0" fieldPosition="0">
        <references count="2">
          <reference field="4294967294" count="1" selected="0">
            <x v="0"/>
          </reference>
          <reference field="0" count="0" selected="0"/>
        </references>
      </pivotArea>
    </format>
  </format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3C3C8-19A2-4B47-9B42-6FA21C2D42BB}" name="PivotTable7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2">
  <location ref="B93:C100" firstHeaderRow="1" firstDataRow="1" firstDataCol="1" rowPageCount="2" colPageCount="1"/>
  <pivotFields count="4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h="1" x="7"/>
        <item h="1" x="8"/>
        <item h="1" x="9"/>
        <item h="1" x="10"/>
        <item h="1" x="11"/>
        <item h="1" x="12"/>
        <item h="1" x="13"/>
        <item h="1" x="14"/>
      </items>
    </pivotField>
    <pivotField axis="axisPage" compact="0" outline="0" subtotalTop="0" showAll="0" defaultSubtotal="0">
      <items count="3">
        <item x="2"/>
        <item x="1"/>
        <item x="0"/>
      </items>
    </pivotField>
    <pivotField axis="axisPage" compact="0" outline="0" multipleItemSelectionAllowed="1" showAll="0" defaultSubtotal="0">
      <items count="3">
        <item x="0"/>
        <item h="1" x="2"/>
        <item h="1" x="1"/>
      </items>
    </pivotField>
    <pivotField dataField="1" compact="0" outline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pageFields count="2">
    <pageField fld="1" item="1" hier="-1"/>
    <pageField fld="2" hier="-1"/>
  </pageFields>
  <dataFields count="1">
    <dataField name="Sum of Value" fld="3" baseField="0" baseItem="0" numFmtId="3"/>
  </dataFields>
  <formats count="11">
    <format dxfId="125">
      <pivotArea type="all" dataOnly="0" outline="0" fieldPosition="0"/>
    </format>
    <format dxfId="124">
      <pivotArea outline="0" collapsedLevelsAreSubtotals="1" fieldPosition="0"/>
    </format>
    <format dxfId="123">
      <pivotArea dataOnly="0" labelOnly="1" outline="0" fieldPosition="0">
        <references count="1">
          <reference field="0" count="0"/>
        </references>
      </pivotArea>
    </format>
    <format dxfId="122">
      <pivotArea dataOnly="0" labelOnly="1" outline="0" fieldPosition="0">
        <references count="1">
          <reference field="0" count="0"/>
        </references>
      </pivotArea>
    </format>
    <format dxfId="121">
      <pivotArea dataOnly="0" labelOnly="1" outline="0" fieldPosition="0">
        <references count="1">
          <reference field="0" count="0"/>
        </references>
      </pivotArea>
    </format>
    <format dxfId="120">
      <pivotArea type="origin" dataOnly="0" labelOnly="1" outline="0" fieldPosition="0"/>
    </format>
    <format dxfId="119">
      <pivotArea field="0" type="button" dataOnly="0" labelOnly="1" outline="0" axis="axisRow" fieldPosition="0"/>
    </format>
    <format dxfId="118">
      <pivotArea field="2" type="button" dataOnly="0" labelOnly="1" outline="0" axis="axisPage" fieldPosition="1"/>
    </format>
    <format dxfId="117">
      <pivotArea dataOnly="0" labelOnly="1" outline="0" fieldPosition="0">
        <references count="1">
          <reference field="2" count="0"/>
        </references>
      </pivotArea>
    </format>
    <format dxfId="116">
      <pivotArea outline="0" collapsedLevelsAreSubtotals="1" fieldPosition="0"/>
    </format>
    <format dxfId="115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E1C19-7047-4D5D-B575-047F0291A732}" name="PivotTable4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2">
  <location ref="B64:C79" firstHeaderRow="1" firstDataRow="1" firstDataCol="1" rowPageCount="2" colPageCount="1"/>
  <pivotFields count="4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compact="0" outline="0" subtotalTop="0" showAll="0" defaultSubtotal="0">
      <items count="3">
        <item x="2"/>
        <item x="1"/>
        <item x="0"/>
      </items>
    </pivotField>
    <pivotField axis="axisPage" compact="0" outline="0" multipleItemSelectionAllowed="1" showAll="0" defaultSubtotal="0">
      <items count="3">
        <item x="0"/>
        <item h="1" x="2"/>
        <item h="1" x="1"/>
      </items>
    </pivotField>
    <pivotField dataField="1" compact="0" outlin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pageFields count="2">
    <pageField fld="1" item="1" hier="-1"/>
    <pageField fld="2" hier="-1"/>
  </pageFields>
  <dataFields count="1">
    <dataField name="% Value" fld="3" showDataAs="percentDiff" baseField="0" baseItem="1048828" numFmtId="10"/>
  </dataFields>
  <formats count="12">
    <format dxfId="137">
      <pivotArea type="all" dataOnly="0" outline="0" fieldPosition="0"/>
    </format>
    <format dxfId="136">
      <pivotArea outline="0" collapsedLevelsAreSubtotals="1" fieldPosition="0"/>
    </format>
    <format dxfId="135">
      <pivotArea dataOnly="0" labelOnly="1" outline="0" fieldPosition="0">
        <references count="1">
          <reference field="0" count="0"/>
        </references>
      </pivotArea>
    </format>
    <format dxfId="134">
      <pivotArea dataOnly="0" labelOnly="1" outline="0" fieldPosition="0">
        <references count="1">
          <reference field="0" count="0"/>
        </references>
      </pivotArea>
    </format>
    <format dxfId="133">
      <pivotArea dataOnly="0" labelOnly="1" outline="0" fieldPosition="0">
        <references count="1">
          <reference field="0" count="0"/>
        </references>
      </pivotArea>
    </format>
    <format dxfId="132">
      <pivotArea type="origin" dataOnly="0" labelOnly="1" outline="0" fieldPosition="0"/>
    </format>
    <format dxfId="131">
      <pivotArea field="0" type="button" dataOnly="0" labelOnly="1" outline="0" axis="axisRow" fieldPosition="0"/>
    </format>
    <format dxfId="130">
      <pivotArea field="2" type="button" dataOnly="0" labelOnly="1" outline="0" axis="axisPage" fieldPosition="1"/>
    </format>
    <format dxfId="129">
      <pivotArea dataOnly="0" labelOnly="1" outline="0" fieldPosition="0">
        <references count="1">
          <reference field="2" count="0"/>
        </references>
      </pivotArea>
    </format>
    <format dxfId="128">
      <pivotArea outline="0" collapsedLevelsAreSubtotals="1" fieldPosition="0"/>
    </format>
    <format dxfId="127">
      <pivotArea outline="0" fieldPosition="0">
        <references count="1">
          <reference field="4294967294" count="1">
            <x v="0"/>
          </reference>
        </references>
      </pivotArea>
    </format>
    <format dxfId="126">
      <pivotArea field="1" type="button" dataOnly="0" labelOnly="1" outline="0" axis="axisPage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9578D5-F543-4F7A-B054-76DE6842AA54}" autoFormatId="16" applyNumberFormats="0" applyBorderFormats="0" applyFontFormats="0" applyPatternFormats="0" applyAlignmentFormats="0" applyWidthHeightFormats="0">
  <queryTableRefresh nextId="7">
    <queryTableFields count="4">
      <queryTableField id="1" name="Year" tableColumnId="1"/>
      <queryTableField id="5" name="Indicator" tableColumnId="2"/>
      <queryTableField id="3" name="Type" tableColumnId="3"/>
      <queryTableField id="4" name="Valu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A8FD2-D117-4875-B84D-12B306101CBC}" name="Raw_indicator_Table" displayName="Raw_indicator_Table" ref="A6:L21" totalsRowShown="0" dataDxfId="150">
  <autoFilter ref="A6:L21" xr:uid="{BB29D1C0-0CB9-4AE9-A684-5106968DACA3}"/>
  <tableColumns count="12">
    <tableColumn id="1" xr3:uid="{7316BD9F-6B2E-4504-A6CE-E09F49648ED9}" name="Year" dataDxfId="149"/>
    <tableColumn id="2" xr3:uid="{13CE41FF-1654-4E35-8274-F52A12AA015B}" name="Abbv." dataDxfId="148"/>
    <tableColumn id="3" xr3:uid="{FB5BC599-52FD-439E-9B40-DC39B92FAFBA}" name="Country" dataDxfId="147"/>
    <tableColumn id="4" xr3:uid="{752F7E26-E1D0-4540-9A08-B0FE5E76274F}" name="Mortality_Count Estimate" dataDxfId="146"/>
    <tableColumn id="5" xr3:uid="{23D9BE35-A069-4612-BD42-E6F9B9ACD212}" name="Mortality_Count Low" dataDxfId="145"/>
    <tableColumn id="6" xr3:uid="{B7196B4A-02CC-410B-8922-FF4E91B7523E}" name="Mortality_Count High" dataDxfId="144"/>
    <tableColumn id="7" xr3:uid="{FCEB0767-64B2-4FC2-8798-BC42C966CE6C}" name="Incidence_Count Estimate" dataDxfId="143"/>
    <tableColumn id="8" xr3:uid="{DCF12584-6D68-4DB2-9474-CECD39FCE007}" name="Incidence_Count Low" dataDxfId="142"/>
    <tableColumn id="9" xr3:uid="{DF5EED99-7C3E-45BE-B8FE-2087EAC48857}" name="Incidence_Count High" dataDxfId="141"/>
    <tableColumn id="10" xr3:uid="{3C08DBB5-FABD-4DA1-96BD-6132B9E400B9}" name="ART_Coverage Estimate" dataDxfId="140"/>
    <tableColumn id="11" xr3:uid="{E2C5706A-6523-4AF1-A0BF-EFF9E7A15E20}" name="ART_Coverage Low" dataDxfId="139"/>
    <tableColumn id="12" xr3:uid="{8872F75C-B1D7-467A-89FC-CC584F2DB8D2}" name="ART_Coverage High" dataDxfId="1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54E097-F44C-47A6-B30F-BA76A960978B}" name="Indicator_Table" displayName="Indicator_Table" ref="A1:D136" tableType="queryTable" totalsRowShown="0">
  <autoFilter ref="A1:D136" xr:uid="{E062EF66-65A3-435E-995C-B72A447F3306}"/>
  <tableColumns count="4">
    <tableColumn id="1" xr3:uid="{C88E52AE-B412-4B76-983E-6D5EBE434610}" uniqueName="1" name="Year" queryTableFieldId="1"/>
    <tableColumn id="2" xr3:uid="{81CE8159-1541-4FC1-99DD-B86244C0DC15}" uniqueName="2" name="Indicator" queryTableFieldId="5"/>
    <tableColumn id="3" xr3:uid="{60519F68-AF5B-45C5-A6FA-A6BA4CBE6622}" uniqueName="3" name="Type" queryTableFieldId="3"/>
    <tableColumn id="4" xr3:uid="{D9419C53-9938-477B-8052-EDB7A0D67660}" uniqueName="4" name="Valu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75C5E3-E572-498F-A47C-D728E6FD0F82}" name="Table2" displayName="Table2" ref="B237:F252" totalsRowShown="0" headerRowDxfId="8" headerRowBorderDxfId="7" tableBorderDxfId="6" totalsRowBorderDxfId="5">
  <autoFilter ref="B237:F252" xr:uid="{753C02B0-D1C9-43C6-AEA6-DDF8DD89BACE}"/>
  <tableColumns count="5">
    <tableColumn id="1" xr3:uid="{B00CDF5B-4CFD-4B49-B168-8E43A93E6FC7}" name="Year" dataDxfId="4"/>
    <tableColumn id="2" xr3:uid="{21791FB7-DB44-40ED-A435-ABCBA1260FB4}" name="ART Coverage (%)" dataDxfId="3"/>
    <tableColumn id="3" xr3:uid="{62154DC7-6108-460F-B056-7AC81E0D6F73}" name="Mortality Count" dataDxfId="2"/>
    <tableColumn id="4" xr3:uid="{237A76D7-4BD6-4B37-83CF-09EA6FCCE0B2}" name="Next Year M_Count" dataDxfId="1">
      <calculatedColumnFormula>VLOOKUP(B238+1,$B$238:$D$252,3,)</calculatedColumnFormula>
    </tableColumn>
    <tableColumn id="5" xr3:uid="{557B43F7-C248-4FD6-9494-6B6C2013A668}" name="M_Count x0.00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17"/>
  <sheetViews>
    <sheetView tabSelected="1" workbookViewId="0">
      <pane xSplit="3" ySplit="6" topLeftCell="D7" activePane="bottomRight" state="frozen"/>
      <selection pane="topRight" activeCell="D1" sqref="D1"/>
      <selection pane="bottomLeft" activeCell="A8" sqref="A8"/>
      <selection pane="bottomRight" activeCell="F2" sqref="F2"/>
    </sheetView>
  </sheetViews>
  <sheetFormatPr defaultColWidth="9.140625" defaultRowHeight="12.75" x14ac:dyDescent="0.2"/>
  <cols>
    <col min="1" max="1" width="5" style="1" bestFit="1" customWidth="1"/>
    <col min="2" max="2" width="10.140625" style="1" bestFit="1" customWidth="1"/>
    <col min="3" max="3" width="45.85546875" style="1" customWidth="1"/>
    <col min="4" max="4" width="18.7109375" style="1" customWidth="1"/>
    <col min="5" max="6" width="18.7109375" style="6" customWidth="1"/>
    <col min="7" max="7" width="18.7109375" style="1" customWidth="1"/>
    <col min="8" max="9" width="18.7109375" style="6" customWidth="1"/>
    <col min="10" max="16384" width="9.140625" style="1"/>
  </cols>
  <sheetData>
    <row r="1" spans="1:9" x14ac:dyDescent="0.2">
      <c r="A1" s="3" t="s">
        <v>206</v>
      </c>
    </row>
    <row r="2" spans="1:9" x14ac:dyDescent="0.2">
      <c r="A2" s="3" t="s">
        <v>211</v>
      </c>
    </row>
    <row r="3" spans="1:9" x14ac:dyDescent="0.2">
      <c r="A3" s="4" t="s">
        <v>212</v>
      </c>
    </row>
    <row r="5" spans="1:9" ht="28.5" customHeight="1" x14ac:dyDescent="0.2">
      <c r="A5" s="74"/>
      <c r="B5" s="74"/>
      <c r="C5" s="2"/>
      <c r="D5" s="75" t="s">
        <v>201</v>
      </c>
      <c r="E5" s="75"/>
      <c r="F5" s="75"/>
      <c r="G5" s="76" t="s">
        <v>202</v>
      </c>
      <c r="H5" s="76"/>
      <c r="I5" s="76"/>
    </row>
    <row r="6" spans="1:9" x14ac:dyDescent="0.2">
      <c r="A6" s="74"/>
      <c r="B6" s="74"/>
      <c r="C6" s="2"/>
      <c r="D6" s="10" t="s">
        <v>203</v>
      </c>
      <c r="E6" s="11" t="s">
        <v>204</v>
      </c>
      <c r="F6" s="11" t="s">
        <v>205</v>
      </c>
      <c r="G6" s="8" t="s">
        <v>203</v>
      </c>
      <c r="H6" s="9" t="s">
        <v>204</v>
      </c>
      <c r="I6" s="9" t="s">
        <v>205</v>
      </c>
    </row>
    <row r="7" spans="1:9" x14ac:dyDescent="0.2">
      <c r="A7" s="12">
        <v>1990</v>
      </c>
      <c r="B7" s="12" t="s">
        <v>210</v>
      </c>
      <c r="C7" s="12" t="s">
        <v>130</v>
      </c>
      <c r="D7" s="13" t="s">
        <v>193</v>
      </c>
      <c r="E7" s="13" t="s">
        <v>50</v>
      </c>
      <c r="F7" s="13" t="s">
        <v>102</v>
      </c>
      <c r="G7" s="13" t="s">
        <v>69</v>
      </c>
      <c r="H7" s="13" t="s">
        <v>6</v>
      </c>
      <c r="I7" s="13" t="s">
        <v>10</v>
      </c>
    </row>
    <row r="8" spans="1:9" x14ac:dyDescent="0.2">
      <c r="A8" s="12">
        <v>1991</v>
      </c>
      <c r="B8" s="12" t="s">
        <v>210</v>
      </c>
      <c r="C8" s="12" t="s">
        <v>130</v>
      </c>
      <c r="D8" s="13" t="s">
        <v>98</v>
      </c>
      <c r="E8" s="13" t="s">
        <v>141</v>
      </c>
      <c r="F8" s="13" t="s">
        <v>34</v>
      </c>
      <c r="G8" s="13" t="s">
        <v>67</v>
      </c>
      <c r="H8" s="13" t="s">
        <v>39</v>
      </c>
      <c r="I8" s="13" t="s">
        <v>109</v>
      </c>
    </row>
    <row r="9" spans="1:9" x14ac:dyDescent="0.2">
      <c r="A9" s="12">
        <v>1992</v>
      </c>
      <c r="B9" s="12" t="s">
        <v>210</v>
      </c>
      <c r="C9" s="12" t="s">
        <v>130</v>
      </c>
      <c r="D9" s="13" t="s">
        <v>131</v>
      </c>
      <c r="E9" s="13" t="s">
        <v>154</v>
      </c>
      <c r="F9" s="13" t="s">
        <v>40</v>
      </c>
      <c r="G9" s="13" t="s">
        <v>90</v>
      </c>
      <c r="H9" s="13" t="s">
        <v>1</v>
      </c>
      <c r="I9" s="13" t="s">
        <v>70</v>
      </c>
    </row>
    <row r="10" spans="1:9" x14ac:dyDescent="0.2">
      <c r="A10" s="12">
        <v>1993</v>
      </c>
      <c r="B10" s="12" t="s">
        <v>210</v>
      </c>
      <c r="C10" s="12" t="s">
        <v>130</v>
      </c>
      <c r="D10" s="13" t="s">
        <v>45</v>
      </c>
      <c r="E10" s="13" t="s">
        <v>91</v>
      </c>
      <c r="F10" s="13" t="s">
        <v>64</v>
      </c>
      <c r="G10" s="13" t="s">
        <v>85</v>
      </c>
      <c r="H10" s="13" t="s">
        <v>83</v>
      </c>
      <c r="I10" s="13" t="s">
        <v>200</v>
      </c>
    </row>
    <row r="11" spans="1:9" x14ac:dyDescent="0.2">
      <c r="A11" s="12">
        <v>1994</v>
      </c>
      <c r="B11" s="12" t="s">
        <v>210</v>
      </c>
      <c r="C11" s="12" t="s">
        <v>130</v>
      </c>
      <c r="D11" s="13" t="s">
        <v>41</v>
      </c>
      <c r="E11" s="13" t="s">
        <v>34</v>
      </c>
      <c r="F11" s="13" t="s">
        <v>7</v>
      </c>
      <c r="G11" s="13" t="s">
        <v>199</v>
      </c>
      <c r="H11" s="13" t="s">
        <v>76</v>
      </c>
      <c r="I11" s="13" t="s">
        <v>21</v>
      </c>
    </row>
    <row r="12" spans="1:9" x14ac:dyDescent="0.2">
      <c r="A12" s="12">
        <v>1995</v>
      </c>
      <c r="B12" s="12" t="s">
        <v>210</v>
      </c>
      <c r="C12" s="12" t="s">
        <v>130</v>
      </c>
      <c r="D12" s="13" t="s">
        <v>64</v>
      </c>
      <c r="E12" s="13" t="s">
        <v>3</v>
      </c>
      <c r="F12" s="13" t="s">
        <v>118</v>
      </c>
      <c r="G12" s="13" t="s">
        <v>2</v>
      </c>
      <c r="H12" s="13" t="s">
        <v>83</v>
      </c>
      <c r="I12" s="13" t="s">
        <v>123</v>
      </c>
    </row>
    <row r="13" spans="1:9" x14ac:dyDescent="0.2">
      <c r="A13" s="12">
        <v>1996</v>
      </c>
      <c r="B13" s="12" t="s">
        <v>210</v>
      </c>
      <c r="C13" s="12" t="s">
        <v>130</v>
      </c>
      <c r="D13" s="13" t="s">
        <v>7</v>
      </c>
      <c r="E13" s="13" t="s">
        <v>41</v>
      </c>
      <c r="F13" s="13" t="s">
        <v>12</v>
      </c>
      <c r="G13" s="13" t="s">
        <v>2</v>
      </c>
      <c r="H13" s="13" t="s">
        <v>83</v>
      </c>
      <c r="I13" s="13" t="s">
        <v>123</v>
      </c>
    </row>
    <row r="14" spans="1:9" x14ac:dyDescent="0.2">
      <c r="A14" s="12">
        <v>1997</v>
      </c>
      <c r="B14" s="12" t="s">
        <v>210</v>
      </c>
      <c r="C14" s="12" t="s">
        <v>130</v>
      </c>
      <c r="D14" s="13" t="s">
        <v>127</v>
      </c>
      <c r="E14" s="13" t="s">
        <v>64</v>
      </c>
      <c r="F14" s="13" t="s">
        <v>1</v>
      </c>
      <c r="G14" s="13" t="s">
        <v>85</v>
      </c>
      <c r="H14" s="13" t="s">
        <v>1</v>
      </c>
      <c r="I14" s="13" t="s">
        <v>195</v>
      </c>
    </row>
    <row r="15" spans="1:9" x14ac:dyDescent="0.2">
      <c r="A15" s="12">
        <v>1998</v>
      </c>
      <c r="B15" s="12" t="s">
        <v>210</v>
      </c>
      <c r="C15" s="12" t="s">
        <v>130</v>
      </c>
      <c r="D15" s="13" t="s">
        <v>26</v>
      </c>
      <c r="E15" s="13" t="s">
        <v>5</v>
      </c>
      <c r="F15" s="13" t="s">
        <v>25</v>
      </c>
      <c r="G15" s="13" t="s">
        <v>29</v>
      </c>
      <c r="H15" s="13" t="s">
        <v>35</v>
      </c>
      <c r="I15" s="13" t="s">
        <v>108</v>
      </c>
    </row>
    <row r="16" spans="1:9" x14ac:dyDescent="0.2">
      <c r="A16" s="12">
        <v>1999</v>
      </c>
      <c r="B16" s="12" t="s">
        <v>210</v>
      </c>
      <c r="C16" s="12" t="s">
        <v>130</v>
      </c>
      <c r="D16" s="13" t="s">
        <v>12</v>
      </c>
      <c r="E16" s="13" t="s">
        <v>63</v>
      </c>
      <c r="F16" s="13" t="s">
        <v>66</v>
      </c>
      <c r="G16" s="13" t="s">
        <v>67</v>
      </c>
      <c r="H16" s="13" t="s">
        <v>39</v>
      </c>
      <c r="I16" s="13" t="s">
        <v>194</v>
      </c>
    </row>
    <row r="17" spans="1:9" x14ac:dyDescent="0.2">
      <c r="A17" s="12">
        <v>2000</v>
      </c>
      <c r="B17" s="12" t="s">
        <v>210</v>
      </c>
      <c r="C17" s="12" t="s">
        <v>130</v>
      </c>
      <c r="D17" s="13" t="s">
        <v>35</v>
      </c>
      <c r="E17" s="13" t="s">
        <v>127</v>
      </c>
      <c r="F17" s="13" t="s">
        <v>14</v>
      </c>
      <c r="G17" s="13" t="s">
        <v>69</v>
      </c>
      <c r="H17" s="13" t="s">
        <v>12</v>
      </c>
      <c r="I17" s="13" t="s">
        <v>19</v>
      </c>
    </row>
    <row r="18" spans="1:9" x14ac:dyDescent="0.2">
      <c r="A18" s="12">
        <v>2001</v>
      </c>
      <c r="B18" s="12" t="s">
        <v>210</v>
      </c>
      <c r="C18" s="12" t="s">
        <v>130</v>
      </c>
      <c r="D18" s="13" t="s">
        <v>83</v>
      </c>
      <c r="E18" s="13" t="s">
        <v>26</v>
      </c>
      <c r="F18" s="13" t="s">
        <v>69</v>
      </c>
      <c r="G18" s="13" t="s">
        <v>159</v>
      </c>
      <c r="H18" s="13" t="s">
        <v>28</v>
      </c>
      <c r="I18" s="13" t="s">
        <v>116</v>
      </c>
    </row>
    <row r="19" spans="1:9" x14ac:dyDescent="0.2">
      <c r="A19" s="12">
        <v>2002</v>
      </c>
      <c r="B19" s="12" t="s">
        <v>210</v>
      </c>
      <c r="C19" s="12" t="s">
        <v>130</v>
      </c>
      <c r="D19" s="13" t="s">
        <v>76</v>
      </c>
      <c r="E19" s="13" t="s">
        <v>28</v>
      </c>
      <c r="F19" s="13" t="s">
        <v>9</v>
      </c>
      <c r="G19" s="13" t="s">
        <v>0</v>
      </c>
      <c r="H19" s="13" t="s">
        <v>26</v>
      </c>
      <c r="I19" s="13" t="s">
        <v>117</v>
      </c>
    </row>
    <row r="20" spans="1:9" x14ac:dyDescent="0.2">
      <c r="A20" s="12">
        <v>2003</v>
      </c>
      <c r="B20" s="12" t="s">
        <v>210</v>
      </c>
      <c r="C20" s="12" t="s">
        <v>130</v>
      </c>
      <c r="D20" s="13" t="s">
        <v>8</v>
      </c>
      <c r="E20" s="13" t="s">
        <v>6</v>
      </c>
      <c r="F20" s="13" t="s">
        <v>27</v>
      </c>
      <c r="G20" s="13" t="s">
        <v>66</v>
      </c>
      <c r="H20" s="13" t="s">
        <v>118</v>
      </c>
      <c r="I20" s="13" t="s">
        <v>84</v>
      </c>
    </row>
    <row r="21" spans="1:9" x14ac:dyDescent="0.2">
      <c r="A21" s="12">
        <v>2004</v>
      </c>
      <c r="B21" s="12" t="s">
        <v>210</v>
      </c>
      <c r="C21" s="12" t="s">
        <v>130</v>
      </c>
      <c r="D21" s="13" t="s">
        <v>8</v>
      </c>
      <c r="E21" s="13" t="s">
        <v>6</v>
      </c>
      <c r="F21" s="13" t="s">
        <v>27</v>
      </c>
      <c r="G21" s="13" t="s">
        <v>68</v>
      </c>
      <c r="H21" s="13" t="s">
        <v>127</v>
      </c>
      <c r="I21" s="13" t="s">
        <v>20</v>
      </c>
    </row>
    <row r="22" spans="1:9" x14ac:dyDescent="0.2">
      <c r="A22" s="12">
        <v>2005</v>
      </c>
      <c r="B22" s="12" t="s">
        <v>210</v>
      </c>
      <c r="C22" s="12" t="s">
        <v>130</v>
      </c>
      <c r="D22" s="13" t="s">
        <v>25</v>
      </c>
      <c r="E22" s="13" t="s">
        <v>28</v>
      </c>
      <c r="F22" s="13" t="s">
        <v>67</v>
      </c>
      <c r="G22" s="13" t="s">
        <v>8</v>
      </c>
      <c r="H22" s="13" t="s">
        <v>63</v>
      </c>
      <c r="I22" s="13" t="s">
        <v>198</v>
      </c>
    </row>
    <row r="23" spans="1:9" x14ac:dyDescent="0.2">
      <c r="A23" s="12">
        <v>2006</v>
      </c>
      <c r="B23" s="12" t="s">
        <v>210</v>
      </c>
      <c r="C23" s="12" t="s">
        <v>130</v>
      </c>
      <c r="D23" s="13" t="s">
        <v>76</v>
      </c>
      <c r="E23" s="13" t="s">
        <v>26</v>
      </c>
      <c r="F23" s="13" t="s">
        <v>107</v>
      </c>
      <c r="G23" s="13" t="s">
        <v>76</v>
      </c>
      <c r="H23" s="13" t="s">
        <v>7</v>
      </c>
      <c r="I23" s="13" t="s">
        <v>160</v>
      </c>
    </row>
    <row r="24" spans="1:9" x14ac:dyDescent="0.2">
      <c r="A24" s="12">
        <v>2007</v>
      </c>
      <c r="B24" s="12" t="s">
        <v>210</v>
      </c>
      <c r="C24" s="12" t="s">
        <v>130</v>
      </c>
      <c r="D24" s="13" t="s">
        <v>1</v>
      </c>
      <c r="E24" s="13" t="s">
        <v>118</v>
      </c>
      <c r="F24" s="13" t="s">
        <v>11</v>
      </c>
      <c r="G24" s="13" t="s">
        <v>83</v>
      </c>
      <c r="H24" s="13" t="s">
        <v>7</v>
      </c>
      <c r="I24" s="13" t="s">
        <v>2</v>
      </c>
    </row>
    <row r="25" spans="1:9" x14ac:dyDescent="0.2">
      <c r="A25" s="12">
        <v>2008</v>
      </c>
      <c r="B25" s="12" t="s">
        <v>210</v>
      </c>
      <c r="C25" s="12" t="s">
        <v>130</v>
      </c>
      <c r="D25" s="13" t="s">
        <v>39</v>
      </c>
      <c r="E25" s="13" t="s">
        <v>127</v>
      </c>
      <c r="F25" s="13" t="s">
        <v>0</v>
      </c>
      <c r="G25" s="13" t="s">
        <v>1</v>
      </c>
      <c r="H25" s="13" t="s">
        <v>5</v>
      </c>
      <c r="I25" s="13" t="s">
        <v>90</v>
      </c>
    </row>
    <row r="26" spans="1:9" x14ac:dyDescent="0.2">
      <c r="A26" s="12">
        <v>2009</v>
      </c>
      <c r="B26" s="12" t="s">
        <v>210</v>
      </c>
      <c r="C26" s="12" t="s">
        <v>130</v>
      </c>
      <c r="D26" s="13" t="s">
        <v>28</v>
      </c>
      <c r="E26" s="13" t="s">
        <v>7</v>
      </c>
      <c r="F26" s="13" t="s">
        <v>8</v>
      </c>
      <c r="G26" s="13" t="s">
        <v>35</v>
      </c>
      <c r="H26" s="13" t="s">
        <v>13</v>
      </c>
      <c r="I26" s="13" t="s">
        <v>27</v>
      </c>
    </row>
    <row r="27" spans="1:9" x14ac:dyDescent="0.2">
      <c r="A27" s="12">
        <v>2010</v>
      </c>
      <c r="B27" s="12" t="s">
        <v>210</v>
      </c>
      <c r="C27" s="12" t="s">
        <v>130</v>
      </c>
      <c r="D27" s="13" t="s">
        <v>28</v>
      </c>
      <c r="E27" s="13" t="s">
        <v>5</v>
      </c>
      <c r="F27" s="13" t="s">
        <v>25</v>
      </c>
      <c r="G27" s="13" t="s">
        <v>39</v>
      </c>
      <c r="H27" s="13" t="s">
        <v>13</v>
      </c>
      <c r="I27" s="13" t="s">
        <v>67</v>
      </c>
    </row>
    <row r="28" spans="1:9" x14ac:dyDescent="0.2">
      <c r="A28" s="12">
        <v>2011</v>
      </c>
      <c r="B28" s="12" t="s">
        <v>210</v>
      </c>
      <c r="C28" s="12" t="s">
        <v>130</v>
      </c>
      <c r="D28" s="13" t="s">
        <v>26</v>
      </c>
      <c r="E28" s="13" t="s">
        <v>5</v>
      </c>
      <c r="F28" s="13" t="s">
        <v>25</v>
      </c>
      <c r="G28" s="13" t="s">
        <v>12</v>
      </c>
      <c r="H28" s="13" t="s">
        <v>64</v>
      </c>
      <c r="I28" s="13" t="s">
        <v>107</v>
      </c>
    </row>
    <row r="29" spans="1:9" x14ac:dyDescent="0.2">
      <c r="A29" s="12">
        <v>2012</v>
      </c>
      <c r="B29" s="12" t="s">
        <v>210</v>
      </c>
      <c r="C29" s="12" t="s">
        <v>130</v>
      </c>
      <c r="D29" s="13" t="s">
        <v>118</v>
      </c>
      <c r="E29" s="13" t="s">
        <v>13</v>
      </c>
      <c r="F29" s="13" t="s">
        <v>83</v>
      </c>
      <c r="G29" s="13" t="s">
        <v>6</v>
      </c>
      <c r="H29" s="13" t="s">
        <v>18</v>
      </c>
      <c r="I29" s="13" t="s">
        <v>11</v>
      </c>
    </row>
    <row r="30" spans="1:9" x14ac:dyDescent="0.2">
      <c r="A30" s="12">
        <v>2013</v>
      </c>
      <c r="B30" s="12" t="s">
        <v>210</v>
      </c>
      <c r="C30" s="12" t="s">
        <v>130</v>
      </c>
      <c r="D30" s="13" t="s">
        <v>127</v>
      </c>
      <c r="E30" s="13" t="s">
        <v>64</v>
      </c>
      <c r="F30" s="13" t="s">
        <v>1</v>
      </c>
      <c r="G30" s="13" t="s">
        <v>26</v>
      </c>
      <c r="H30" s="13" t="s">
        <v>41</v>
      </c>
      <c r="I30" s="13" t="s">
        <v>14</v>
      </c>
    </row>
    <row r="31" spans="1:9" x14ac:dyDescent="0.2">
      <c r="A31" s="12">
        <v>2014</v>
      </c>
      <c r="B31" s="12" t="s">
        <v>210</v>
      </c>
      <c r="C31" s="12" t="s">
        <v>130</v>
      </c>
      <c r="D31" s="13" t="s">
        <v>127</v>
      </c>
      <c r="E31" s="13" t="s">
        <v>64</v>
      </c>
      <c r="F31" s="13" t="s">
        <v>35</v>
      </c>
      <c r="G31" s="13" t="s">
        <v>118</v>
      </c>
      <c r="H31" s="13" t="s">
        <v>41</v>
      </c>
      <c r="I31" s="13" t="s">
        <v>77</v>
      </c>
    </row>
    <row r="32" spans="1:9" x14ac:dyDescent="0.2">
      <c r="A32" s="12">
        <v>2015</v>
      </c>
      <c r="B32" s="12" t="s">
        <v>210</v>
      </c>
      <c r="C32" s="12" t="s">
        <v>130</v>
      </c>
      <c r="D32" s="13" t="s">
        <v>63</v>
      </c>
      <c r="E32" s="13" t="s">
        <v>18</v>
      </c>
      <c r="F32" s="13" t="s">
        <v>39</v>
      </c>
      <c r="G32" s="13" t="s">
        <v>118</v>
      </c>
      <c r="H32" s="13" t="s">
        <v>40</v>
      </c>
      <c r="I32" s="13" t="s">
        <v>66</v>
      </c>
    </row>
    <row r="33" spans="1:9" x14ac:dyDescent="0.2">
      <c r="A33" s="12">
        <v>2016</v>
      </c>
      <c r="B33" s="12" t="s">
        <v>210</v>
      </c>
      <c r="C33" s="12" t="s">
        <v>130</v>
      </c>
      <c r="D33" s="13" t="s">
        <v>7</v>
      </c>
      <c r="E33" s="13" t="s">
        <v>41</v>
      </c>
      <c r="F33" s="13" t="s">
        <v>6</v>
      </c>
      <c r="G33" s="13" t="s">
        <v>127</v>
      </c>
      <c r="H33" s="13" t="s">
        <v>40</v>
      </c>
      <c r="I33" s="13" t="s">
        <v>68</v>
      </c>
    </row>
    <row r="34" spans="1:9" x14ac:dyDescent="0.2">
      <c r="A34" s="12">
        <v>2017</v>
      </c>
      <c r="B34" s="12" t="s">
        <v>210</v>
      </c>
      <c r="C34" s="12" t="s">
        <v>130</v>
      </c>
      <c r="D34" s="13" t="s">
        <v>13</v>
      </c>
      <c r="E34" s="13" t="s">
        <v>40</v>
      </c>
      <c r="F34" s="13" t="s">
        <v>28</v>
      </c>
      <c r="G34" s="13" t="s">
        <v>63</v>
      </c>
      <c r="H34" s="13" t="s">
        <v>3</v>
      </c>
      <c r="I34" s="13" t="s">
        <v>25</v>
      </c>
    </row>
    <row r="35" spans="1:9" x14ac:dyDescent="0.2">
      <c r="A35" s="12">
        <v>2018</v>
      </c>
      <c r="B35" s="12" t="s">
        <v>210</v>
      </c>
      <c r="C35" s="12" t="s">
        <v>130</v>
      </c>
      <c r="D35" s="13" t="s">
        <v>64</v>
      </c>
      <c r="E35" s="13" t="s">
        <v>40</v>
      </c>
      <c r="F35" s="13" t="s">
        <v>118</v>
      </c>
      <c r="G35" s="13" t="s">
        <v>7</v>
      </c>
      <c r="H35" s="13" t="s">
        <v>3</v>
      </c>
      <c r="I35" s="13" t="s">
        <v>76</v>
      </c>
    </row>
    <row r="36" spans="1:9" x14ac:dyDescent="0.2">
      <c r="A36" s="12">
        <v>2019</v>
      </c>
      <c r="B36" s="12" t="s">
        <v>210</v>
      </c>
      <c r="C36" s="12" t="s">
        <v>130</v>
      </c>
      <c r="D36" s="13" t="s">
        <v>64</v>
      </c>
      <c r="E36" s="13" t="s">
        <v>3</v>
      </c>
      <c r="F36" s="13" t="s">
        <v>118</v>
      </c>
      <c r="G36" s="13" t="s">
        <v>5</v>
      </c>
      <c r="H36" s="13" t="s">
        <v>45</v>
      </c>
      <c r="I36" s="13" t="s">
        <v>83</v>
      </c>
    </row>
    <row r="37" spans="1:9" x14ac:dyDescent="0.2">
      <c r="A37" s="12">
        <v>2020</v>
      </c>
      <c r="B37" s="12" t="s">
        <v>210</v>
      </c>
      <c r="C37" s="12" t="s">
        <v>130</v>
      </c>
      <c r="D37" s="13" t="s">
        <v>41</v>
      </c>
      <c r="E37" s="13" t="s">
        <v>45</v>
      </c>
      <c r="F37" s="13" t="s">
        <v>7</v>
      </c>
      <c r="G37" s="13" t="s">
        <v>13</v>
      </c>
      <c r="H37" s="13" t="s">
        <v>45</v>
      </c>
      <c r="I37" s="13" t="s">
        <v>35</v>
      </c>
    </row>
    <row r="38" spans="1:9" x14ac:dyDescent="0.2">
      <c r="A38" s="12">
        <v>2021</v>
      </c>
      <c r="B38" s="12" t="s">
        <v>210</v>
      </c>
      <c r="C38" s="12" t="s">
        <v>130</v>
      </c>
      <c r="D38" s="13" t="s">
        <v>40</v>
      </c>
      <c r="E38" s="13" t="s">
        <v>65</v>
      </c>
      <c r="F38" s="13" t="s">
        <v>13</v>
      </c>
      <c r="G38" s="13" t="s">
        <v>64</v>
      </c>
      <c r="H38" s="13" t="s">
        <v>93</v>
      </c>
      <c r="I38" s="13" t="s">
        <v>12</v>
      </c>
    </row>
    <row r="39" spans="1:9" x14ac:dyDescent="0.2">
      <c r="A39" s="12">
        <v>2022</v>
      </c>
      <c r="B39" s="12" t="s">
        <v>210</v>
      </c>
      <c r="C39" s="12" t="s">
        <v>130</v>
      </c>
      <c r="D39" s="13" t="s">
        <v>45</v>
      </c>
      <c r="E39" s="13" t="s">
        <v>126</v>
      </c>
      <c r="F39" s="13" t="s">
        <v>18</v>
      </c>
      <c r="G39" s="13" t="s">
        <v>41</v>
      </c>
      <c r="H39" s="13" t="s">
        <v>106</v>
      </c>
      <c r="I39" s="13" t="s">
        <v>26</v>
      </c>
    </row>
    <row r="40" spans="1:9" x14ac:dyDescent="0.2">
      <c r="A40" s="12">
        <v>2023</v>
      </c>
      <c r="B40" s="12" t="s">
        <v>210</v>
      </c>
      <c r="C40" s="12" t="s">
        <v>130</v>
      </c>
      <c r="D40" s="13" t="s">
        <v>34</v>
      </c>
      <c r="E40" s="13" t="s">
        <v>55</v>
      </c>
      <c r="F40" s="13" t="s">
        <v>41</v>
      </c>
      <c r="G40" s="13" t="s">
        <v>40</v>
      </c>
      <c r="H40" s="13" t="s">
        <v>119</v>
      </c>
      <c r="I40" s="13" t="s">
        <v>118</v>
      </c>
    </row>
    <row r="41" spans="1:9" x14ac:dyDescent="0.2">
      <c r="A41" s="12">
        <v>2024</v>
      </c>
      <c r="B41" s="12" t="s">
        <v>210</v>
      </c>
      <c r="C41" s="12" t="s">
        <v>130</v>
      </c>
      <c r="D41" s="13" t="s">
        <v>112</v>
      </c>
      <c r="E41" s="13" t="s">
        <v>154</v>
      </c>
      <c r="F41" s="13" t="s">
        <v>40</v>
      </c>
      <c r="G41" s="13" t="s">
        <v>3</v>
      </c>
      <c r="H41" s="13" t="s">
        <v>98</v>
      </c>
      <c r="I41" s="13" t="s">
        <v>7</v>
      </c>
    </row>
    <row r="42" spans="1:9" x14ac:dyDescent="0.2">
      <c r="A42" s="14">
        <v>1990</v>
      </c>
      <c r="B42" s="14" t="s">
        <v>134</v>
      </c>
      <c r="C42" s="14" t="s">
        <v>135</v>
      </c>
      <c r="D42" s="15" t="s">
        <v>31</v>
      </c>
      <c r="E42" s="15" t="s">
        <v>30</v>
      </c>
      <c r="F42" s="15" t="s">
        <v>32</v>
      </c>
      <c r="G42" s="15">
        <v>2300</v>
      </c>
      <c r="H42" s="15">
        <v>1700</v>
      </c>
      <c r="I42" s="15">
        <v>3100</v>
      </c>
    </row>
    <row r="43" spans="1:9" x14ac:dyDescent="0.2">
      <c r="A43" s="14">
        <v>1991</v>
      </c>
      <c r="B43" s="14" t="s">
        <v>134</v>
      </c>
      <c r="C43" s="14" t="s">
        <v>135</v>
      </c>
      <c r="D43" s="15" t="s">
        <v>31</v>
      </c>
      <c r="E43" s="15" t="s">
        <v>31</v>
      </c>
      <c r="F43" s="15" t="s">
        <v>32</v>
      </c>
      <c r="G43" s="15">
        <v>3200</v>
      </c>
      <c r="H43" s="15">
        <v>2500</v>
      </c>
      <c r="I43" s="15">
        <v>4400</v>
      </c>
    </row>
    <row r="44" spans="1:9" x14ac:dyDescent="0.2">
      <c r="A44" s="14">
        <v>1992</v>
      </c>
      <c r="B44" s="14" t="s">
        <v>134</v>
      </c>
      <c r="C44" s="14" t="s">
        <v>135</v>
      </c>
      <c r="D44" s="15" t="s">
        <v>32</v>
      </c>
      <c r="E44" s="15" t="s">
        <v>31</v>
      </c>
      <c r="F44" s="15" t="s">
        <v>32</v>
      </c>
      <c r="G44" s="15">
        <v>4300</v>
      </c>
      <c r="H44" s="15">
        <v>3300</v>
      </c>
      <c r="I44" s="15">
        <v>5600</v>
      </c>
    </row>
    <row r="45" spans="1:9" x14ac:dyDescent="0.2">
      <c r="A45" s="14">
        <v>1993</v>
      </c>
      <c r="B45" s="14" t="s">
        <v>134</v>
      </c>
      <c r="C45" s="14" t="s">
        <v>135</v>
      </c>
      <c r="D45" s="15" t="s">
        <v>32</v>
      </c>
      <c r="E45" s="15" t="s">
        <v>32</v>
      </c>
      <c r="F45" s="15">
        <v>620</v>
      </c>
      <c r="G45" s="15">
        <v>5700</v>
      </c>
      <c r="H45" s="15">
        <v>4500</v>
      </c>
      <c r="I45" s="15">
        <v>7400</v>
      </c>
    </row>
    <row r="46" spans="1:9" x14ac:dyDescent="0.2">
      <c r="A46" s="14">
        <v>1994</v>
      </c>
      <c r="B46" s="14" t="s">
        <v>134</v>
      </c>
      <c r="C46" s="14" t="s">
        <v>135</v>
      </c>
      <c r="D46" s="15">
        <v>600</v>
      </c>
      <c r="E46" s="15" t="s">
        <v>32</v>
      </c>
      <c r="F46" s="15">
        <v>880</v>
      </c>
      <c r="G46" s="15">
        <v>7000</v>
      </c>
      <c r="H46" s="15">
        <v>5600</v>
      </c>
      <c r="I46" s="15">
        <v>9000</v>
      </c>
    </row>
    <row r="47" spans="1:9" x14ac:dyDescent="0.2">
      <c r="A47" s="14">
        <v>1995</v>
      </c>
      <c r="B47" s="14" t="s">
        <v>134</v>
      </c>
      <c r="C47" s="14" t="s">
        <v>135</v>
      </c>
      <c r="D47" s="15">
        <v>810</v>
      </c>
      <c r="E47" s="15">
        <v>600</v>
      </c>
      <c r="F47" s="15">
        <v>1100</v>
      </c>
      <c r="G47" s="15">
        <v>7600</v>
      </c>
      <c r="H47" s="15">
        <v>6100</v>
      </c>
      <c r="I47" s="15">
        <v>9300</v>
      </c>
    </row>
    <row r="48" spans="1:9" x14ac:dyDescent="0.2">
      <c r="A48" s="14">
        <v>1996</v>
      </c>
      <c r="B48" s="14" t="s">
        <v>134</v>
      </c>
      <c r="C48" s="14" t="s">
        <v>135</v>
      </c>
      <c r="D48" s="15">
        <v>1100</v>
      </c>
      <c r="E48" s="15">
        <v>840</v>
      </c>
      <c r="F48" s="15">
        <v>1500</v>
      </c>
      <c r="G48" s="15">
        <v>7500</v>
      </c>
      <c r="H48" s="15">
        <v>6000</v>
      </c>
      <c r="I48" s="15">
        <v>8900</v>
      </c>
    </row>
    <row r="49" spans="1:9" x14ac:dyDescent="0.2">
      <c r="A49" s="14">
        <v>1997</v>
      </c>
      <c r="B49" s="14" t="s">
        <v>134</v>
      </c>
      <c r="C49" s="14" t="s">
        <v>135</v>
      </c>
      <c r="D49" s="15">
        <v>1400</v>
      </c>
      <c r="E49" s="15">
        <v>1100</v>
      </c>
      <c r="F49" s="15">
        <v>1800</v>
      </c>
      <c r="G49" s="15">
        <v>6900</v>
      </c>
      <c r="H49" s="15">
        <v>5500</v>
      </c>
      <c r="I49" s="15">
        <v>8300</v>
      </c>
    </row>
    <row r="50" spans="1:9" x14ac:dyDescent="0.2">
      <c r="A50" s="14">
        <v>1998</v>
      </c>
      <c r="B50" s="14" t="s">
        <v>134</v>
      </c>
      <c r="C50" s="14" t="s">
        <v>135</v>
      </c>
      <c r="D50" s="15">
        <v>1700</v>
      </c>
      <c r="E50" s="15">
        <v>1400</v>
      </c>
      <c r="F50" s="15">
        <v>2200</v>
      </c>
      <c r="G50" s="15">
        <v>6100</v>
      </c>
      <c r="H50" s="15">
        <v>4700</v>
      </c>
      <c r="I50" s="15">
        <v>7500</v>
      </c>
    </row>
    <row r="51" spans="1:9" x14ac:dyDescent="0.2">
      <c r="A51" s="14">
        <v>1999</v>
      </c>
      <c r="B51" s="14" t="s">
        <v>134</v>
      </c>
      <c r="C51" s="14" t="s">
        <v>135</v>
      </c>
      <c r="D51" s="15">
        <v>2100</v>
      </c>
      <c r="E51" s="15">
        <v>1700</v>
      </c>
      <c r="F51" s="15">
        <v>2700</v>
      </c>
      <c r="G51" s="15">
        <v>5300</v>
      </c>
      <c r="H51" s="15">
        <v>4100</v>
      </c>
      <c r="I51" s="15">
        <v>6500</v>
      </c>
    </row>
    <row r="52" spans="1:9" x14ac:dyDescent="0.2">
      <c r="A52" s="14">
        <v>2000</v>
      </c>
      <c r="B52" s="14" t="s">
        <v>134</v>
      </c>
      <c r="C52" s="14" t="s">
        <v>135</v>
      </c>
      <c r="D52" s="15">
        <v>2500</v>
      </c>
      <c r="E52" s="15">
        <v>2000</v>
      </c>
      <c r="F52" s="15">
        <v>3100</v>
      </c>
      <c r="G52" s="15">
        <v>4900</v>
      </c>
      <c r="H52" s="15">
        <v>3800</v>
      </c>
      <c r="I52" s="15">
        <v>5900</v>
      </c>
    </row>
    <row r="53" spans="1:9" x14ac:dyDescent="0.2">
      <c r="A53" s="14">
        <v>2001</v>
      </c>
      <c r="B53" s="14" t="s">
        <v>134</v>
      </c>
      <c r="C53" s="14" t="s">
        <v>135</v>
      </c>
      <c r="D53" s="15">
        <v>2800</v>
      </c>
      <c r="E53" s="15">
        <v>2300</v>
      </c>
      <c r="F53" s="15">
        <v>3500</v>
      </c>
      <c r="G53" s="15">
        <v>4500</v>
      </c>
      <c r="H53" s="15">
        <v>3700</v>
      </c>
      <c r="I53" s="15">
        <v>5600</v>
      </c>
    </row>
    <row r="54" spans="1:9" x14ac:dyDescent="0.2">
      <c r="A54" s="14">
        <v>2002</v>
      </c>
      <c r="B54" s="14" t="s">
        <v>134</v>
      </c>
      <c r="C54" s="14" t="s">
        <v>135</v>
      </c>
      <c r="D54" s="15">
        <v>3100</v>
      </c>
      <c r="E54" s="15">
        <v>2600</v>
      </c>
      <c r="F54" s="15">
        <v>3900</v>
      </c>
      <c r="G54" s="15">
        <v>4100</v>
      </c>
      <c r="H54" s="15">
        <v>3400</v>
      </c>
      <c r="I54" s="15">
        <v>5100</v>
      </c>
    </row>
    <row r="55" spans="1:9" x14ac:dyDescent="0.2">
      <c r="A55" s="14">
        <v>2003</v>
      </c>
      <c r="B55" s="14" t="s">
        <v>134</v>
      </c>
      <c r="C55" s="14" t="s">
        <v>135</v>
      </c>
      <c r="D55" s="15">
        <v>3400</v>
      </c>
      <c r="E55" s="15">
        <v>2900</v>
      </c>
      <c r="F55" s="15">
        <v>4200</v>
      </c>
      <c r="G55" s="15">
        <v>3900</v>
      </c>
      <c r="H55" s="15">
        <v>3200</v>
      </c>
      <c r="I55" s="15">
        <v>4900</v>
      </c>
    </row>
    <row r="56" spans="1:9" x14ac:dyDescent="0.2">
      <c r="A56" s="14">
        <v>2004</v>
      </c>
      <c r="B56" s="14" t="s">
        <v>134</v>
      </c>
      <c r="C56" s="14" t="s">
        <v>135</v>
      </c>
      <c r="D56" s="15">
        <v>3700</v>
      </c>
      <c r="E56" s="15">
        <v>3100</v>
      </c>
      <c r="F56" s="15">
        <v>4500</v>
      </c>
      <c r="G56" s="15">
        <v>3900</v>
      </c>
      <c r="H56" s="15">
        <v>3200</v>
      </c>
      <c r="I56" s="15">
        <v>5000</v>
      </c>
    </row>
    <row r="57" spans="1:9" x14ac:dyDescent="0.2">
      <c r="A57" s="14">
        <v>2005</v>
      </c>
      <c r="B57" s="14" t="s">
        <v>134</v>
      </c>
      <c r="C57" s="14" t="s">
        <v>135</v>
      </c>
      <c r="D57" s="15">
        <v>3900</v>
      </c>
      <c r="E57" s="15">
        <v>3300</v>
      </c>
      <c r="F57" s="15">
        <v>4700</v>
      </c>
      <c r="G57" s="15">
        <v>3800</v>
      </c>
      <c r="H57" s="15">
        <v>3100</v>
      </c>
      <c r="I57" s="15">
        <v>4900</v>
      </c>
    </row>
    <row r="58" spans="1:9" x14ac:dyDescent="0.2">
      <c r="A58" s="14">
        <v>2006</v>
      </c>
      <c r="B58" s="14" t="s">
        <v>134</v>
      </c>
      <c r="C58" s="14" t="s">
        <v>135</v>
      </c>
      <c r="D58" s="15">
        <v>4100</v>
      </c>
      <c r="E58" s="15">
        <v>3500</v>
      </c>
      <c r="F58" s="15">
        <v>4900</v>
      </c>
      <c r="G58" s="15">
        <v>3500</v>
      </c>
      <c r="H58" s="15">
        <v>2900</v>
      </c>
      <c r="I58" s="15">
        <v>4500</v>
      </c>
    </row>
    <row r="59" spans="1:9" x14ac:dyDescent="0.2">
      <c r="A59" s="14">
        <v>2007</v>
      </c>
      <c r="B59" s="14" t="s">
        <v>134</v>
      </c>
      <c r="C59" s="14" t="s">
        <v>135</v>
      </c>
      <c r="D59" s="15">
        <v>4200</v>
      </c>
      <c r="E59" s="15">
        <v>3600</v>
      </c>
      <c r="F59" s="15">
        <v>5100</v>
      </c>
      <c r="G59" s="15">
        <v>3600</v>
      </c>
      <c r="H59" s="15">
        <v>2900</v>
      </c>
      <c r="I59" s="15">
        <v>4500</v>
      </c>
    </row>
    <row r="60" spans="1:9" x14ac:dyDescent="0.2">
      <c r="A60" s="14">
        <v>2008</v>
      </c>
      <c r="B60" s="14" t="s">
        <v>134</v>
      </c>
      <c r="C60" s="14" t="s">
        <v>135</v>
      </c>
      <c r="D60" s="15">
        <v>2200</v>
      </c>
      <c r="E60" s="15">
        <v>1800</v>
      </c>
      <c r="F60" s="15">
        <v>2800</v>
      </c>
      <c r="G60" s="15">
        <v>3200</v>
      </c>
      <c r="H60" s="15">
        <v>2500</v>
      </c>
      <c r="I60" s="15">
        <v>4200</v>
      </c>
    </row>
    <row r="61" spans="1:9" x14ac:dyDescent="0.2">
      <c r="A61" s="14">
        <v>2009</v>
      </c>
      <c r="B61" s="14" t="s">
        <v>134</v>
      </c>
      <c r="C61" s="14" t="s">
        <v>135</v>
      </c>
      <c r="D61" s="15">
        <v>1200</v>
      </c>
      <c r="E61" s="15">
        <v>950</v>
      </c>
      <c r="F61" s="15">
        <v>1600</v>
      </c>
      <c r="G61" s="15">
        <v>2900</v>
      </c>
      <c r="H61" s="15">
        <v>2300</v>
      </c>
      <c r="I61" s="15">
        <v>3900</v>
      </c>
    </row>
    <row r="62" spans="1:9" x14ac:dyDescent="0.2">
      <c r="A62" s="14">
        <v>2010</v>
      </c>
      <c r="B62" s="14" t="s">
        <v>134</v>
      </c>
      <c r="C62" s="14" t="s">
        <v>135</v>
      </c>
      <c r="D62" s="15">
        <v>990</v>
      </c>
      <c r="E62" s="15">
        <v>780</v>
      </c>
      <c r="F62" s="15">
        <v>1400</v>
      </c>
      <c r="G62" s="15">
        <v>2600</v>
      </c>
      <c r="H62" s="15">
        <v>2000</v>
      </c>
      <c r="I62" s="15">
        <v>3500</v>
      </c>
    </row>
    <row r="63" spans="1:9" x14ac:dyDescent="0.2">
      <c r="A63" s="14">
        <v>2011</v>
      </c>
      <c r="B63" s="14" t="s">
        <v>134</v>
      </c>
      <c r="C63" s="14" t="s">
        <v>135</v>
      </c>
      <c r="D63" s="15">
        <v>990</v>
      </c>
      <c r="E63" s="15">
        <v>760</v>
      </c>
      <c r="F63" s="15">
        <v>1300</v>
      </c>
      <c r="G63" s="15">
        <v>2300</v>
      </c>
      <c r="H63" s="15">
        <v>1700</v>
      </c>
      <c r="I63" s="15">
        <v>3100</v>
      </c>
    </row>
    <row r="64" spans="1:9" x14ac:dyDescent="0.2">
      <c r="A64" s="14">
        <v>2012</v>
      </c>
      <c r="B64" s="14" t="s">
        <v>134</v>
      </c>
      <c r="C64" s="14" t="s">
        <v>135</v>
      </c>
      <c r="D64" s="15">
        <v>920</v>
      </c>
      <c r="E64" s="15">
        <v>710</v>
      </c>
      <c r="F64" s="15">
        <v>1300</v>
      </c>
      <c r="G64" s="15">
        <v>2200</v>
      </c>
      <c r="H64" s="15">
        <v>1600</v>
      </c>
      <c r="I64" s="15">
        <v>3200</v>
      </c>
    </row>
    <row r="65" spans="1:9" x14ac:dyDescent="0.2">
      <c r="A65" s="14">
        <v>2013</v>
      </c>
      <c r="B65" s="14" t="s">
        <v>134</v>
      </c>
      <c r="C65" s="14" t="s">
        <v>135</v>
      </c>
      <c r="D65" s="15">
        <v>920</v>
      </c>
      <c r="E65" s="15">
        <v>680</v>
      </c>
      <c r="F65" s="15">
        <v>1400</v>
      </c>
      <c r="G65" s="15">
        <v>2100</v>
      </c>
      <c r="H65" s="15">
        <v>1500</v>
      </c>
      <c r="I65" s="15">
        <v>3100</v>
      </c>
    </row>
    <row r="66" spans="1:9" x14ac:dyDescent="0.2">
      <c r="A66" s="14">
        <v>2014</v>
      </c>
      <c r="B66" s="14" t="s">
        <v>134</v>
      </c>
      <c r="C66" s="14" t="s">
        <v>135</v>
      </c>
      <c r="D66" s="15">
        <v>1200</v>
      </c>
      <c r="E66" s="15">
        <v>840</v>
      </c>
      <c r="F66" s="15">
        <v>1800</v>
      </c>
      <c r="G66" s="15">
        <v>2100</v>
      </c>
      <c r="H66" s="15">
        <v>1400</v>
      </c>
      <c r="I66" s="15">
        <v>3000</v>
      </c>
    </row>
    <row r="67" spans="1:9" x14ac:dyDescent="0.2">
      <c r="A67" s="14">
        <v>2015</v>
      </c>
      <c r="B67" s="14" t="s">
        <v>134</v>
      </c>
      <c r="C67" s="14" t="s">
        <v>135</v>
      </c>
      <c r="D67" s="15">
        <v>1200</v>
      </c>
      <c r="E67" s="15">
        <v>850</v>
      </c>
      <c r="F67" s="15">
        <v>1700</v>
      </c>
      <c r="G67" s="15">
        <v>2000</v>
      </c>
      <c r="H67" s="15">
        <v>1400</v>
      </c>
      <c r="I67" s="15">
        <v>2800</v>
      </c>
    </row>
    <row r="68" spans="1:9" x14ac:dyDescent="0.2">
      <c r="A68" s="14">
        <v>2016</v>
      </c>
      <c r="B68" s="14" t="s">
        <v>134</v>
      </c>
      <c r="C68" s="14" t="s">
        <v>135</v>
      </c>
      <c r="D68" s="15">
        <v>1400</v>
      </c>
      <c r="E68" s="15">
        <v>890</v>
      </c>
      <c r="F68" s="15">
        <v>2100</v>
      </c>
      <c r="G68" s="15">
        <v>1900</v>
      </c>
      <c r="H68" s="15">
        <v>1200</v>
      </c>
      <c r="I68" s="15">
        <v>2900</v>
      </c>
    </row>
    <row r="69" spans="1:9" x14ac:dyDescent="0.2">
      <c r="A69" s="14">
        <v>2017</v>
      </c>
      <c r="B69" s="14" t="s">
        <v>134</v>
      </c>
      <c r="C69" s="14" t="s">
        <v>135</v>
      </c>
      <c r="D69" s="15">
        <v>1600</v>
      </c>
      <c r="E69" s="15">
        <v>1100</v>
      </c>
      <c r="F69" s="15">
        <v>2300</v>
      </c>
      <c r="G69" s="15">
        <v>1900</v>
      </c>
      <c r="H69" s="15">
        <v>1200</v>
      </c>
      <c r="I69" s="15">
        <v>2700</v>
      </c>
    </row>
    <row r="70" spans="1:9" x14ac:dyDescent="0.2">
      <c r="A70" s="14">
        <v>2018</v>
      </c>
      <c r="B70" s="14" t="s">
        <v>134</v>
      </c>
      <c r="C70" s="14" t="s">
        <v>135</v>
      </c>
      <c r="D70" s="15">
        <v>1300</v>
      </c>
      <c r="E70" s="15">
        <v>1000</v>
      </c>
      <c r="F70" s="15">
        <v>1800</v>
      </c>
      <c r="G70" s="15">
        <v>1600</v>
      </c>
      <c r="H70" s="15">
        <v>950</v>
      </c>
      <c r="I70" s="15">
        <v>2400</v>
      </c>
    </row>
    <row r="71" spans="1:9" x14ac:dyDescent="0.2">
      <c r="A71" s="14">
        <v>2019</v>
      </c>
      <c r="B71" s="14" t="s">
        <v>134</v>
      </c>
      <c r="C71" s="14" t="s">
        <v>135</v>
      </c>
      <c r="D71" s="15">
        <v>1200</v>
      </c>
      <c r="E71" s="15">
        <v>960</v>
      </c>
      <c r="F71" s="15">
        <v>1600</v>
      </c>
      <c r="G71" s="15">
        <v>1500</v>
      </c>
      <c r="H71" s="15">
        <v>910</v>
      </c>
      <c r="I71" s="15">
        <v>2300</v>
      </c>
    </row>
    <row r="72" spans="1:9" x14ac:dyDescent="0.2">
      <c r="A72" s="14">
        <v>2020</v>
      </c>
      <c r="B72" s="14" t="s">
        <v>134</v>
      </c>
      <c r="C72" s="14" t="s">
        <v>135</v>
      </c>
      <c r="D72" s="15">
        <v>1100</v>
      </c>
      <c r="E72" s="15">
        <v>870</v>
      </c>
      <c r="F72" s="15">
        <v>1500</v>
      </c>
      <c r="G72" s="15">
        <v>1400</v>
      </c>
      <c r="H72" s="15">
        <v>830</v>
      </c>
      <c r="I72" s="15">
        <v>2100</v>
      </c>
    </row>
    <row r="73" spans="1:9" x14ac:dyDescent="0.2">
      <c r="A73" s="14">
        <v>2021</v>
      </c>
      <c r="B73" s="14" t="s">
        <v>134</v>
      </c>
      <c r="C73" s="14" t="s">
        <v>135</v>
      </c>
      <c r="D73" s="15">
        <v>1100</v>
      </c>
      <c r="E73" s="15">
        <v>820</v>
      </c>
      <c r="F73" s="15">
        <v>1400</v>
      </c>
      <c r="G73" s="15">
        <v>1200</v>
      </c>
      <c r="H73" s="15">
        <v>740</v>
      </c>
      <c r="I73" s="15">
        <v>1900</v>
      </c>
    </row>
    <row r="74" spans="1:9" x14ac:dyDescent="0.2">
      <c r="A74" s="14">
        <v>2022</v>
      </c>
      <c r="B74" s="14" t="s">
        <v>134</v>
      </c>
      <c r="C74" s="14" t="s">
        <v>135</v>
      </c>
      <c r="D74" s="15">
        <v>1100</v>
      </c>
      <c r="E74" s="15">
        <v>790</v>
      </c>
      <c r="F74" s="15">
        <v>1400</v>
      </c>
      <c r="G74" s="15">
        <v>1200</v>
      </c>
      <c r="H74" s="15">
        <v>700</v>
      </c>
      <c r="I74" s="15">
        <v>1900</v>
      </c>
    </row>
    <row r="75" spans="1:9" x14ac:dyDescent="0.2">
      <c r="A75" s="14">
        <v>2023</v>
      </c>
      <c r="B75" s="14" t="s">
        <v>134</v>
      </c>
      <c r="C75" s="14" t="s">
        <v>135</v>
      </c>
      <c r="D75" s="15">
        <v>970</v>
      </c>
      <c r="E75" s="15">
        <v>740</v>
      </c>
      <c r="F75" s="15">
        <v>1200</v>
      </c>
      <c r="G75" s="15">
        <v>960</v>
      </c>
      <c r="H75" s="15">
        <v>530</v>
      </c>
      <c r="I75" s="15">
        <v>1600</v>
      </c>
    </row>
    <row r="76" spans="1:9" x14ac:dyDescent="0.2">
      <c r="A76" s="14">
        <v>2024</v>
      </c>
      <c r="B76" s="14" t="s">
        <v>134</v>
      </c>
      <c r="C76" s="14" t="s">
        <v>135</v>
      </c>
      <c r="D76" s="15">
        <v>960</v>
      </c>
      <c r="E76" s="15">
        <v>730</v>
      </c>
      <c r="F76" s="15">
        <v>1200</v>
      </c>
      <c r="G76" s="15">
        <v>910</v>
      </c>
      <c r="H76" s="15" t="s">
        <v>32</v>
      </c>
      <c r="I76" s="15">
        <v>1600</v>
      </c>
    </row>
    <row r="77" spans="1:9" x14ac:dyDescent="0.2">
      <c r="A77" s="14">
        <v>1990</v>
      </c>
      <c r="B77" s="14" t="s">
        <v>136</v>
      </c>
      <c r="C77" s="14" t="s">
        <v>137</v>
      </c>
      <c r="D77" s="15">
        <v>3600</v>
      </c>
      <c r="E77" s="15">
        <v>2100</v>
      </c>
      <c r="F77" s="15">
        <v>7500</v>
      </c>
      <c r="G77" s="15" t="s">
        <v>59</v>
      </c>
      <c r="H77" s="15" t="s">
        <v>15</v>
      </c>
      <c r="I77" s="15" t="s">
        <v>61</v>
      </c>
    </row>
    <row r="78" spans="1:9" x14ac:dyDescent="0.2">
      <c r="A78" s="14">
        <v>1991</v>
      </c>
      <c r="B78" s="14" t="s">
        <v>136</v>
      </c>
      <c r="C78" s="14" t="s">
        <v>137</v>
      </c>
      <c r="D78" s="15">
        <v>4500</v>
      </c>
      <c r="E78" s="15">
        <v>2700</v>
      </c>
      <c r="F78" s="15">
        <v>8900</v>
      </c>
      <c r="G78" s="15" t="s">
        <v>62</v>
      </c>
      <c r="H78" s="15" t="s">
        <v>15</v>
      </c>
      <c r="I78" s="15" t="s">
        <v>78</v>
      </c>
    </row>
    <row r="79" spans="1:9" x14ac:dyDescent="0.2">
      <c r="A79" s="14">
        <v>1992</v>
      </c>
      <c r="B79" s="14" t="s">
        <v>136</v>
      </c>
      <c r="C79" s="14" t="s">
        <v>137</v>
      </c>
      <c r="D79" s="15">
        <v>5400</v>
      </c>
      <c r="E79" s="15">
        <v>3300</v>
      </c>
      <c r="F79" s="15">
        <v>9900</v>
      </c>
      <c r="G79" s="15" t="s">
        <v>17</v>
      </c>
      <c r="H79" s="15" t="s">
        <v>22</v>
      </c>
      <c r="I79" s="15" t="s">
        <v>81</v>
      </c>
    </row>
    <row r="80" spans="1:9" x14ac:dyDescent="0.2">
      <c r="A80" s="14">
        <v>1993</v>
      </c>
      <c r="B80" s="14" t="s">
        <v>136</v>
      </c>
      <c r="C80" s="14" t="s">
        <v>137</v>
      </c>
      <c r="D80" s="15">
        <v>6200</v>
      </c>
      <c r="E80" s="15">
        <v>3900</v>
      </c>
      <c r="F80" s="15" t="s">
        <v>24</v>
      </c>
      <c r="G80" s="15" t="s">
        <v>15</v>
      </c>
      <c r="H80" s="15">
        <v>8800</v>
      </c>
      <c r="I80" s="15" t="s">
        <v>59</v>
      </c>
    </row>
    <row r="81" spans="1:9" x14ac:dyDescent="0.2">
      <c r="A81" s="14">
        <v>1994</v>
      </c>
      <c r="B81" s="14" t="s">
        <v>136</v>
      </c>
      <c r="C81" s="14" t="s">
        <v>137</v>
      </c>
      <c r="D81" s="15">
        <v>7000</v>
      </c>
      <c r="E81" s="15">
        <v>4400</v>
      </c>
      <c r="F81" s="15" t="s">
        <v>15</v>
      </c>
      <c r="G81" s="15" t="s">
        <v>22</v>
      </c>
      <c r="H81" s="15">
        <v>7300</v>
      </c>
      <c r="I81" s="15" t="s">
        <v>60</v>
      </c>
    </row>
    <row r="82" spans="1:9" x14ac:dyDescent="0.2">
      <c r="A82" s="14">
        <v>1995</v>
      </c>
      <c r="B82" s="14" t="s">
        <v>136</v>
      </c>
      <c r="C82" s="14" t="s">
        <v>137</v>
      </c>
      <c r="D82" s="15">
        <v>7700</v>
      </c>
      <c r="E82" s="15">
        <v>5000</v>
      </c>
      <c r="F82" s="15" t="s">
        <v>15</v>
      </c>
      <c r="G82" s="15">
        <v>8900</v>
      </c>
      <c r="H82" s="15">
        <v>6400</v>
      </c>
      <c r="I82" s="15" t="s">
        <v>15</v>
      </c>
    </row>
    <row r="83" spans="1:9" x14ac:dyDescent="0.2">
      <c r="A83" s="14">
        <v>1996</v>
      </c>
      <c r="B83" s="14" t="s">
        <v>136</v>
      </c>
      <c r="C83" s="14" t="s">
        <v>137</v>
      </c>
      <c r="D83" s="15">
        <v>8300</v>
      </c>
      <c r="E83" s="15">
        <v>5500</v>
      </c>
      <c r="F83" s="15" t="s">
        <v>23</v>
      </c>
      <c r="G83" s="15">
        <v>7900</v>
      </c>
      <c r="H83" s="15">
        <v>5900</v>
      </c>
      <c r="I83" s="15" t="s">
        <v>24</v>
      </c>
    </row>
    <row r="84" spans="1:9" x14ac:dyDescent="0.2">
      <c r="A84" s="14">
        <v>1997</v>
      </c>
      <c r="B84" s="14" t="s">
        <v>136</v>
      </c>
      <c r="C84" s="14" t="s">
        <v>137</v>
      </c>
      <c r="D84" s="15">
        <v>8700</v>
      </c>
      <c r="E84" s="15">
        <v>6100</v>
      </c>
      <c r="F84" s="15" t="s">
        <v>23</v>
      </c>
      <c r="G84" s="15">
        <v>7400</v>
      </c>
      <c r="H84" s="15">
        <v>5700</v>
      </c>
      <c r="I84" s="15">
        <v>10000</v>
      </c>
    </row>
    <row r="85" spans="1:9" x14ac:dyDescent="0.2">
      <c r="A85" s="14">
        <v>1998</v>
      </c>
      <c r="B85" s="14" t="s">
        <v>136</v>
      </c>
      <c r="C85" s="14" t="s">
        <v>137</v>
      </c>
      <c r="D85" s="15">
        <v>9100</v>
      </c>
      <c r="E85" s="15">
        <v>6500</v>
      </c>
      <c r="F85" s="15" t="s">
        <v>23</v>
      </c>
      <c r="G85" s="15">
        <v>6700</v>
      </c>
      <c r="H85" s="15">
        <v>5300</v>
      </c>
      <c r="I85" s="15">
        <v>8900</v>
      </c>
    </row>
    <row r="86" spans="1:9" x14ac:dyDescent="0.2">
      <c r="A86" s="14">
        <v>1999</v>
      </c>
      <c r="B86" s="14" t="s">
        <v>136</v>
      </c>
      <c r="C86" s="14" t="s">
        <v>137</v>
      </c>
      <c r="D86" s="15">
        <v>9400</v>
      </c>
      <c r="E86" s="15">
        <v>7000</v>
      </c>
      <c r="F86" s="15" t="s">
        <v>23</v>
      </c>
      <c r="G86" s="15">
        <v>6000</v>
      </c>
      <c r="H86" s="15">
        <v>4700</v>
      </c>
      <c r="I86" s="15">
        <v>7800</v>
      </c>
    </row>
    <row r="87" spans="1:9" x14ac:dyDescent="0.2">
      <c r="A87" s="14">
        <v>2000</v>
      </c>
      <c r="B87" s="14" t="s">
        <v>136</v>
      </c>
      <c r="C87" s="14" t="s">
        <v>137</v>
      </c>
      <c r="D87" s="15">
        <v>9500</v>
      </c>
      <c r="E87" s="15">
        <v>7400</v>
      </c>
      <c r="F87" s="15" t="s">
        <v>23</v>
      </c>
      <c r="G87" s="15">
        <v>5500</v>
      </c>
      <c r="H87" s="15">
        <v>4200</v>
      </c>
      <c r="I87" s="15">
        <v>7200</v>
      </c>
    </row>
    <row r="88" spans="1:9" x14ac:dyDescent="0.2">
      <c r="A88" s="14">
        <v>2001</v>
      </c>
      <c r="B88" s="14" t="s">
        <v>136</v>
      </c>
      <c r="C88" s="14" t="s">
        <v>137</v>
      </c>
      <c r="D88" s="15">
        <v>9600</v>
      </c>
      <c r="E88" s="15">
        <v>7700</v>
      </c>
      <c r="F88" s="15" t="s">
        <v>23</v>
      </c>
      <c r="G88" s="15">
        <v>5100</v>
      </c>
      <c r="H88" s="15">
        <v>3800</v>
      </c>
      <c r="I88" s="15">
        <v>6600</v>
      </c>
    </row>
    <row r="89" spans="1:9" x14ac:dyDescent="0.2">
      <c r="A89" s="14">
        <v>2002</v>
      </c>
      <c r="B89" s="14" t="s">
        <v>136</v>
      </c>
      <c r="C89" s="14" t="s">
        <v>137</v>
      </c>
      <c r="D89" s="15">
        <v>9600</v>
      </c>
      <c r="E89" s="15">
        <v>7800</v>
      </c>
      <c r="F89" s="15" t="s">
        <v>23</v>
      </c>
      <c r="G89" s="15">
        <v>4800</v>
      </c>
      <c r="H89" s="15">
        <v>3400</v>
      </c>
      <c r="I89" s="15">
        <v>6200</v>
      </c>
    </row>
    <row r="90" spans="1:9" x14ac:dyDescent="0.2">
      <c r="A90" s="14">
        <v>2003</v>
      </c>
      <c r="B90" s="14" t="s">
        <v>136</v>
      </c>
      <c r="C90" s="14" t="s">
        <v>137</v>
      </c>
      <c r="D90" s="15">
        <v>9300</v>
      </c>
      <c r="E90" s="15">
        <v>7500</v>
      </c>
      <c r="F90" s="15" t="s">
        <v>15</v>
      </c>
      <c r="G90" s="15">
        <v>4300</v>
      </c>
      <c r="H90" s="15">
        <v>3000</v>
      </c>
      <c r="I90" s="15">
        <v>5600</v>
      </c>
    </row>
    <row r="91" spans="1:9" x14ac:dyDescent="0.2">
      <c r="A91" s="14">
        <v>2004</v>
      </c>
      <c r="B91" s="14" t="s">
        <v>136</v>
      </c>
      <c r="C91" s="14" t="s">
        <v>137</v>
      </c>
      <c r="D91" s="15">
        <v>8500</v>
      </c>
      <c r="E91" s="15">
        <v>6900</v>
      </c>
      <c r="F91" s="15" t="s">
        <v>24</v>
      </c>
      <c r="G91" s="15">
        <v>3700</v>
      </c>
      <c r="H91" s="15">
        <v>2600</v>
      </c>
      <c r="I91" s="15">
        <v>5100</v>
      </c>
    </row>
    <row r="92" spans="1:9" x14ac:dyDescent="0.2">
      <c r="A92" s="14">
        <v>2005</v>
      </c>
      <c r="B92" s="14" t="s">
        <v>136</v>
      </c>
      <c r="C92" s="14" t="s">
        <v>137</v>
      </c>
      <c r="D92" s="15">
        <v>7400</v>
      </c>
      <c r="E92" s="15">
        <v>5900</v>
      </c>
      <c r="F92" s="15">
        <v>9500</v>
      </c>
      <c r="G92" s="15">
        <v>3500</v>
      </c>
      <c r="H92" s="15">
        <v>2400</v>
      </c>
      <c r="I92" s="15">
        <v>4900</v>
      </c>
    </row>
    <row r="93" spans="1:9" x14ac:dyDescent="0.2">
      <c r="A93" s="14">
        <v>2006</v>
      </c>
      <c r="B93" s="14" t="s">
        <v>136</v>
      </c>
      <c r="C93" s="14" t="s">
        <v>137</v>
      </c>
      <c r="D93" s="15">
        <v>6300</v>
      </c>
      <c r="E93" s="15">
        <v>4900</v>
      </c>
      <c r="F93" s="15">
        <v>8100</v>
      </c>
      <c r="G93" s="15">
        <v>3000</v>
      </c>
      <c r="H93" s="15">
        <v>2000</v>
      </c>
      <c r="I93" s="15">
        <v>4300</v>
      </c>
    </row>
    <row r="94" spans="1:9" x14ac:dyDescent="0.2">
      <c r="A94" s="14">
        <v>2007</v>
      </c>
      <c r="B94" s="14" t="s">
        <v>136</v>
      </c>
      <c r="C94" s="14" t="s">
        <v>137</v>
      </c>
      <c r="D94" s="15">
        <v>5500</v>
      </c>
      <c r="E94" s="15">
        <v>4200</v>
      </c>
      <c r="F94" s="15">
        <v>7000</v>
      </c>
      <c r="G94" s="15">
        <v>2700</v>
      </c>
      <c r="H94" s="15">
        <v>1700</v>
      </c>
      <c r="I94" s="15">
        <v>4000</v>
      </c>
    </row>
    <row r="95" spans="1:9" x14ac:dyDescent="0.2">
      <c r="A95" s="14">
        <v>2008</v>
      </c>
      <c r="B95" s="14" t="s">
        <v>136</v>
      </c>
      <c r="C95" s="14" t="s">
        <v>137</v>
      </c>
      <c r="D95" s="15">
        <v>4800</v>
      </c>
      <c r="E95" s="15">
        <v>3600</v>
      </c>
      <c r="F95" s="15">
        <v>6200</v>
      </c>
      <c r="G95" s="15">
        <v>2600</v>
      </c>
      <c r="H95" s="15">
        <v>1600</v>
      </c>
      <c r="I95" s="15">
        <v>3900</v>
      </c>
    </row>
    <row r="96" spans="1:9" x14ac:dyDescent="0.2">
      <c r="A96" s="14">
        <v>2009</v>
      </c>
      <c r="B96" s="14" t="s">
        <v>136</v>
      </c>
      <c r="C96" s="14" t="s">
        <v>137</v>
      </c>
      <c r="D96" s="15">
        <v>4000</v>
      </c>
      <c r="E96" s="15">
        <v>2900</v>
      </c>
      <c r="F96" s="15">
        <v>5200</v>
      </c>
      <c r="G96" s="15">
        <v>2500</v>
      </c>
      <c r="H96" s="15">
        <v>1700</v>
      </c>
      <c r="I96" s="15">
        <v>3700</v>
      </c>
    </row>
    <row r="97" spans="1:9" x14ac:dyDescent="0.2">
      <c r="A97" s="14">
        <v>2010</v>
      </c>
      <c r="B97" s="14" t="s">
        <v>136</v>
      </c>
      <c r="C97" s="14" t="s">
        <v>137</v>
      </c>
      <c r="D97" s="15">
        <v>3600</v>
      </c>
      <c r="E97" s="15">
        <v>2600</v>
      </c>
      <c r="F97" s="15">
        <v>4700</v>
      </c>
      <c r="G97" s="15">
        <v>2500</v>
      </c>
      <c r="H97" s="15">
        <v>1700</v>
      </c>
      <c r="I97" s="15">
        <v>3700</v>
      </c>
    </row>
    <row r="98" spans="1:9" x14ac:dyDescent="0.2">
      <c r="A98" s="14">
        <v>2011</v>
      </c>
      <c r="B98" s="14" t="s">
        <v>136</v>
      </c>
      <c r="C98" s="14" t="s">
        <v>137</v>
      </c>
      <c r="D98" s="15">
        <v>3300</v>
      </c>
      <c r="E98" s="15">
        <v>2400</v>
      </c>
      <c r="F98" s="15">
        <v>4300</v>
      </c>
      <c r="G98" s="15">
        <v>2200</v>
      </c>
      <c r="H98" s="15">
        <v>1500</v>
      </c>
      <c r="I98" s="15">
        <v>3300</v>
      </c>
    </row>
    <row r="99" spans="1:9" x14ac:dyDescent="0.2">
      <c r="A99" s="14">
        <v>2012</v>
      </c>
      <c r="B99" s="14" t="s">
        <v>136</v>
      </c>
      <c r="C99" s="14" t="s">
        <v>137</v>
      </c>
      <c r="D99" s="15">
        <v>3200</v>
      </c>
      <c r="E99" s="15">
        <v>2400</v>
      </c>
      <c r="F99" s="15">
        <v>4200</v>
      </c>
      <c r="G99" s="15">
        <v>2200</v>
      </c>
      <c r="H99" s="15">
        <v>1400</v>
      </c>
      <c r="I99" s="15">
        <v>3200</v>
      </c>
    </row>
    <row r="100" spans="1:9" x14ac:dyDescent="0.2">
      <c r="A100" s="14">
        <v>2013</v>
      </c>
      <c r="B100" s="14" t="s">
        <v>136</v>
      </c>
      <c r="C100" s="14" t="s">
        <v>137</v>
      </c>
      <c r="D100" s="15">
        <v>3100</v>
      </c>
      <c r="E100" s="15">
        <v>2300</v>
      </c>
      <c r="F100" s="15">
        <v>4000</v>
      </c>
      <c r="G100" s="15">
        <v>1900</v>
      </c>
      <c r="H100" s="15">
        <v>1200</v>
      </c>
      <c r="I100" s="15">
        <v>2900</v>
      </c>
    </row>
    <row r="101" spans="1:9" x14ac:dyDescent="0.2">
      <c r="A101" s="14">
        <v>2014</v>
      </c>
      <c r="B101" s="14" t="s">
        <v>136</v>
      </c>
      <c r="C101" s="14" t="s">
        <v>137</v>
      </c>
      <c r="D101" s="15">
        <v>2900</v>
      </c>
      <c r="E101" s="15">
        <v>2200</v>
      </c>
      <c r="F101" s="15">
        <v>3900</v>
      </c>
      <c r="G101" s="15">
        <v>1800</v>
      </c>
      <c r="H101" s="15">
        <v>1100</v>
      </c>
      <c r="I101" s="15">
        <v>2700</v>
      </c>
    </row>
    <row r="102" spans="1:9" x14ac:dyDescent="0.2">
      <c r="A102" s="14">
        <v>2015</v>
      </c>
      <c r="B102" s="14" t="s">
        <v>136</v>
      </c>
      <c r="C102" s="14" t="s">
        <v>137</v>
      </c>
      <c r="D102" s="15">
        <v>2700</v>
      </c>
      <c r="E102" s="15">
        <v>2100</v>
      </c>
      <c r="F102" s="15">
        <v>3600</v>
      </c>
      <c r="G102" s="15">
        <v>1700</v>
      </c>
      <c r="H102" s="15">
        <v>1100</v>
      </c>
      <c r="I102" s="15">
        <v>2600</v>
      </c>
    </row>
    <row r="103" spans="1:9" x14ac:dyDescent="0.2">
      <c r="A103" s="14">
        <v>2016</v>
      </c>
      <c r="B103" s="14" t="s">
        <v>136</v>
      </c>
      <c r="C103" s="14" t="s">
        <v>137</v>
      </c>
      <c r="D103" s="15">
        <v>2500</v>
      </c>
      <c r="E103" s="15">
        <v>1900</v>
      </c>
      <c r="F103" s="15">
        <v>3300</v>
      </c>
      <c r="G103" s="15">
        <v>1700</v>
      </c>
      <c r="H103" s="15">
        <v>1100</v>
      </c>
      <c r="I103" s="15">
        <v>2600</v>
      </c>
    </row>
    <row r="104" spans="1:9" x14ac:dyDescent="0.2">
      <c r="A104" s="14">
        <v>2017</v>
      </c>
      <c r="B104" s="14" t="s">
        <v>136</v>
      </c>
      <c r="C104" s="14" t="s">
        <v>137</v>
      </c>
      <c r="D104" s="15">
        <v>2300</v>
      </c>
      <c r="E104" s="15">
        <v>1800</v>
      </c>
      <c r="F104" s="15">
        <v>3000</v>
      </c>
      <c r="G104" s="15">
        <v>1800</v>
      </c>
      <c r="H104" s="15">
        <v>1100</v>
      </c>
      <c r="I104" s="15">
        <v>2700</v>
      </c>
    </row>
    <row r="105" spans="1:9" x14ac:dyDescent="0.2">
      <c r="A105" s="14">
        <v>2018</v>
      </c>
      <c r="B105" s="14" t="s">
        <v>136</v>
      </c>
      <c r="C105" s="14" t="s">
        <v>137</v>
      </c>
      <c r="D105" s="15">
        <v>2100</v>
      </c>
      <c r="E105" s="15">
        <v>1600</v>
      </c>
      <c r="F105" s="15">
        <v>2800</v>
      </c>
      <c r="G105" s="15">
        <v>2100</v>
      </c>
      <c r="H105" s="15">
        <v>1400</v>
      </c>
      <c r="I105" s="15">
        <v>3000</v>
      </c>
    </row>
    <row r="106" spans="1:9" x14ac:dyDescent="0.2">
      <c r="A106" s="14">
        <v>2019</v>
      </c>
      <c r="B106" s="14" t="s">
        <v>136</v>
      </c>
      <c r="C106" s="14" t="s">
        <v>137</v>
      </c>
      <c r="D106" s="15">
        <v>2100</v>
      </c>
      <c r="E106" s="15">
        <v>1600</v>
      </c>
      <c r="F106" s="15">
        <v>2800</v>
      </c>
      <c r="G106" s="15">
        <v>1900</v>
      </c>
      <c r="H106" s="15">
        <v>1300</v>
      </c>
      <c r="I106" s="15">
        <v>2800</v>
      </c>
    </row>
    <row r="107" spans="1:9" x14ac:dyDescent="0.2">
      <c r="A107" s="14">
        <v>2020</v>
      </c>
      <c r="B107" s="14" t="s">
        <v>136</v>
      </c>
      <c r="C107" s="14" t="s">
        <v>137</v>
      </c>
      <c r="D107" s="15">
        <v>1900</v>
      </c>
      <c r="E107" s="15">
        <v>1500</v>
      </c>
      <c r="F107" s="15">
        <v>2500</v>
      </c>
      <c r="G107" s="15">
        <v>1900</v>
      </c>
      <c r="H107" s="15">
        <v>1200</v>
      </c>
      <c r="I107" s="15">
        <v>2700</v>
      </c>
    </row>
    <row r="108" spans="1:9" x14ac:dyDescent="0.2">
      <c r="A108" s="14">
        <v>2021</v>
      </c>
      <c r="B108" s="14" t="s">
        <v>136</v>
      </c>
      <c r="C108" s="14" t="s">
        <v>137</v>
      </c>
      <c r="D108" s="15">
        <v>1900</v>
      </c>
      <c r="E108" s="15">
        <v>1500</v>
      </c>
      <c r="F108" s="15">
        <v>2600</v>
      </c>
      <c r="G108" s="15">
        <v>2300</v>
      </c>
      <c r="H108" s="15">
        <v>1600</v>
      </c>
      <c r="I108" s="15">
        <v>3400</v>
      </c>
    </row>
    <row r="109" spans="1:9" x14ac:dyDescent="0.2">
      <c r="A109" s="14">
        <v>2022</v>
      </c>
      <c r="B109" s="14" t="s">
        <v>136</v>
      </c>
      <c r="C109" s="14" t="s">
        <v>137</v>
      </c>
      <c r="D109" s="15">
        <v>1900</v>
      </c>
      <c r="E109" s="15">
        <v>1400</v>
      </c>
      <c r="F109" s="15">
        <v>2500</v>
      </c>
      <c r="G109" s="15">
        <v>2200</v>
      </c>
      <c r="H109" s="15">
        <v>1500</v>
      </c>
      <c r="I109" s="15">
        <v>3300</v>
      </c>
    </row>
    <row r="110" spans="1:9" x14ac:dyDescent="0.2">
      <c r="A110" s="14">
        <v>2023</v>
      </c>
      <c r="B110" s="14" t="s">
        <v>136</v>
      </c>
      <c r="C110" s="14" t="s">
        <v>137</v>
      </c>
      <c r="D110" s="15">
        <v>1700</v>
      </c>
      <c r="E110" s="15">
        <v>1300</v>
      </c>
      <c r="F110" s="15">
        <v>2300</v>
      </c>
      <c r="G110" s="15">
        <v>2200</v>
      </c>
      <c r="H110" s="15">
        <v>1400</v>
      </c>
      <c r="I110" s="15">
        <v>3300</v>
      </c>
    </row>
    <row r="111" spans="1:9" x14ac:dyDescent="0.2">
      <c r="A111" s="14">
        <v>2024</v>
      </c>
      <c r="B111" s="14" t="s">
        <v>136</v>
      </c>
      <c r="C111" s="14" t="s">
        <v>137</v>
      </c>
      <c r="D111" s="15">
        <v>1500</v>
      </c>
      <c r="E111" s="15">
        <v>1200</v>
      </c>
      <c r="F111" s="15">
        <v>2100</v>
      </c>
      <c r="G111" s="15">
        <v>2200</v>
      </c>
      <c r="H111" s="15">
        <v>1400</v>
      </c>
      <c r="I111" s="15">
        <v>3400</v>
      </c>
    </row>
    <row r="112" spans="1:9" x14ac:dyDescent="0.2">
      <c r="A112" s="14">
        <v>1990</v>
      </c>
      <c r="B112" s="14" t="s">
        <v>139</v>
      </c>
      <c r="C112" s="14" t="s">
        <v>140</v>
      </c>
      <c r="D112" s="15">
        <v>3400</v>
      </c>
      <c r="E112" s="15">
        <v>1100</v>
      </c>
      <c r="F112" s="15">
        <v>7900</v>
      </c>
      <c r="G112" s="15" t="s">
        <v>49</v>
      </c>
      <c r="H112" s="15" t="s">
        <v>60</v>
      </c>
      <c r="I112" s="15" t="s">
        <v>38</v>
      </c>
    </row>
    <row r="113" spans="1:9" x14ac:dyDescent="0.2">
      <c r="A113" s="14">
        <v>1991</v>
      </c>
      <c r="B113" s="14" t="s">
        <v>139</v>
      </c>
      <c r="C113" s="14" t="s">
        <v>140</v>
      </c>
      <c r="D113" s="15">
        <v>4300</v>
      </c>
      <c r="E113" s="15">
        <v>1600</v>
      </c>
      <c r="F113" s="15">
        <v>9100</v>
      </c>
      <c r="G113" s="15" t="s">
        <v>81</v>
      </c>
      <c r="H113" s="15" t="s">
        <v>17</v>
      </c>
      <c r="I113" s="15" t="s">
        <v>113</v>
      </c>
    </row>
    <row r="114" spans="1:9" x14ac:dyDescent="0.2">
      <c r="A114" s="14">
        <v>1992</v>
      </c>
      <c r="B114" s="14" t="s">
        <v>139</v>
      </c>
      <c r="C114" s="14" t="s">
        <v>140</v>
      </c>
      <c r="D114" s="15">
        <v>5300</v>
      </c>
      <c r="E114" s="15">
        <v>2200</v>
      </c>
      <c r="F114" s="15" t="s">
        <v>22</v>
      </c>
      <c r="G114" s="15" t="s">
        <v>59</v>
      </c>
      <c r="H114" s="15" t="s">
        <v>23</v>
      </c>
      <c r="I114" s="15" t="s">
        <v>61</v>
      </c>
    </row>
    <row r="115" spans="1:9" x14ac:dyDescent="0.2">
      <c r="A115" s="14">
        <v>1993</v>
      </c>
      <c r="B115" s="14" t="s">
        <v>139</v>
      </c>
      <c r="C115" s="14" t="s">
        <v>140</v>
      </c>
      <c r="D115" s="15">
        <v>6300</v>
      </c>
      <c r="E115" s="15">
        <v>2900</v>
      </c>
      <c r="F115" s="15" t="s">
        <v>15</v>
      </c>
      <c r="G115" s="15">
        <v>9200</v>
      </c>
      <c r="H115" s="15">
        <v>4200</v>
      </c>
      <c r="I115" s="15" t="s">
        <v>59</v>
      </c>
    </row>
    <row r="116" spans="1:9" x14ac:dyDescent="0.2">
      <c r="A116" s="14">
        <v>1994</v>
      </c>
      <c r="B116" s="14" t="s">
        <v>139</v>
      </c>
      <c r="C116" s="14" t="s">
        <v>140</v>
      </c>
      <c r="D116" s="15">
        <v>5700</v>
      </c>
      <c r="E116" s="15">
        <v>2800</v>
      </c>
      <c r="F116" s="15" t="s">
        <v>22</v>
      </c>
      <c r="G116" s="15" t="s">
        <v>16</v>
      </c>
      <c r="H116" s="15" t="s">
        <v>60</v>
      </c>
      <c r="I116" s="15" t="s">
        <v>78</v>
      </c>
    </row>
    <row r="117" spans="1:9" x14ac:dyDescent="0.2">
      <c r="A117" s="14">
        <v>1995</v>
      </c>
      <c r="B117" s="14" t="s">
        <v>139</v>
      </c>
      <c r="C117" s="14" t="s">
        <v>140</v>
      </c>
      <c r="D117" s="15">
        <v>7800</v>
      </c>
      <c r="E117" s="15">
        <v>4300</v>
      </c>
      <c r="F117" s="15" t="s">
        <v>23</v>
      </c>
      <c r="G117" s="15">
        <v>4300</v>
      </c>
      <c r="H117" s="15">
        <v>700</v>
      </c>
      <c r="I117" s="15" t="s">
        <v>24</v>
      </c>
    </row>
    <row r="118" spans="1:9" x14ac:dyDescent="0.2">
      <c r="A118" s="14">
        <v>1996</v>
      </c>
      <c r="B118" s="14" t="s">
        <v>139</v>
      </c>
      <c r="C118" s="14" t="s">
        <v>140</v>
      </c>
      <c r="D118" s="15">
        <v>8400</v>
      </c>
      <c r="E118" s="15">
        <v>5000</v>
      </c>
      <c r="F118" s="15" t="s">
        <v>23</v>
      </c>
      <c r="G118" s="15">
        <v>8800</v>
      </c>
      <c r="H118" s="15">
        <v>6500</v>
      </c>
      <c r="I118" s="15" t="s">
        <v>23</v>
      </c>
    </row>
    <row r="119" spans="1:9" x14ac:dyDescent="0.2">
      <c r="A119" s="14">
        <v>1997</v>
      </c>
      <c r="B119" s="14" t="s">
        <v>139</v>
      </c>
      <c r="C119" s="14" t="s">
        <v>140</v>
      </c>
      <c r="D119" s="15">
        <v>8400</v>
      </c>
      <c r="E119" s="15">
        <v>5400</v>
      </c>
      <c r="F119" s="15" t="s">
        <v>23</v>
      </c>
      <c r="G119" s="15">
        <v>8300</v>
      </c>
      <c r="H119" s="15">
        <v>6900</v>
      </c>
      <c r="I119" s="15" t="s">
        <v>24</v>
      </c>
    </row>
    <row r="120" spans="1:9" x14ac:dyDescent="0.2">
      <c r="A120" s="14">
        <v>1998</v>
      </c>
      <c r="B120" s="14" t="s">
        <v>139</v>
      </c>
      <c r="C120" s="14" t="s">
        <v>140</v>
      </c>
      <c r="D120" s="15">
        <v>8600</v>
      </c>
      <c r="E120" s="15">
        <v>5900</v>
      </c>
      <c r="F120" s="15" t="s">
        <v>15</v>
      </c>
      <c r="G120" s="15">
        <v>7000</v>
      </c>
      <c r="H120" s="15">
        <v>5600</v>
      </c>
      <c r="I120" s="15">
        <v>9500</v>
      </c>
    </row>
    <row r="121" spans="1:9" x14ac:dyDescent="0.2">
      <c r="A121" s="14">
        <v>1999</v>
      </c>
      <c r="B121" s="14" t="s">
        <v>139</v>
      </c>
      <c r="C121" s="14" t="s">
        <v>140</v>
      </c>
      <c r="D121" s="15">
        <v>9000</v>
      </c>
      <c r="E121" s="15">
        <v>6300</v>
      </c>
      <c r="F121" s="15" t="s">
        <v>15</v>
      </c>
      <c r="G121" s="15">
        <v>5300</v>
      </c>
      <c r="H121" s="15">
        <v>3900</v>
      </c>
      <c r="I121" s="15">
        <v>7100</v>
      </c>
    </row>
    <row r="122" spans="1:9" x14ac:dyDescent="0.2">
      <c r="A122" s="14">
        <v>2000</v>
      </c>
      <c r="B122" s="14" t="s">
        <v>139</v>
      </c>
      <c r="C122" s="14" t="s">
        <v>140</v>
      </c>
      <c r="D122" s="15">
        <v>9100</v>
      </c>
      <c r="E122" s="15">
        <v>6500</v>
      </c>
      <c r="F122" s="15" t="s">
        <v>15</v>
      </c>
      <c r="G122" s="15">
        <v>4800</v>
      </c>
      <c r="H122" s="15">
        <v>3600</v>
      </c>
      <c r="I122" s="15">
        <v>6600</v>
      </c>
    </row>
    <row r="123" spans="1:9" x14ac:dyDescent="0.2">
      <c r="A123" s="14">
        <v>2001</v>
      </c>
      <c r="B123" s="14" t="s">
        <v>139</v>
      </c>
      <c r="C123" s="14" t="s">
        <v>140</v>
      </c>
      <c r="D123" s="15">
        <v>9000</v>
      </c>
      <c r="E123" s="15">
        <v>6800</v>
      </c>
      <c r="F123" s="15" t="s">
        <v>15</v>
      </c>
      <c r="G123" s="15">
        <v>4600</v>
      </c>
      <c r="H123" s="15">
        <v>3400</v>
      </c>
      <c r="I123" s="15">
        <v>6200</v>
      </c>
    </row>
    <row r="124" spans="1:9" x14ac:dyDescent="0.2">
      <c r="A124" s="14">
        <v>2002</v>
      </c>
      <c r="B124" s="14" t="s">
        <v>139</v>
      </c>
      <c r="C124" s="14" t="s">
        <v>140</v>
      </c>
      <c r="D124" s="15">
        <v>8900</v>
      </c>
      <c r="E124" s="15">
        <v>7000</v>
      </c>
      <c r="F124" s="15" t="s">
        <v>24</v>
      </c>
      <c r="G124" s="15">
        <v>3900</v>
      </c>
      <c r="H124" s="15">
        <v>2700</v>
      </c>
      <c r="I124" s="15">
        <v>5500</v>
      </c>
    </row>
    <row r="125" spans="1:9" x14ac:dyDescent="0.2">
      <c r="A125" s="14">
        <v>2003</v>
      </c>
      <c r="B125" s="14" t="s">
        <v>139</v>
      </c>
      <c r="C125" s="14" t="s">
        <v>140</v>
      </c>
      <c r="D125" s="15">
        <v>8700</v>
      </c>
      <c r="E125" s="15">
        <v>7000</v>
      </c>
      <c r="F125" s="15" t="s">
        <v>24</v>
      </c>
      <c r="G125" s="15">
        <v>3800</v>
      </c>
      <c r="H125" s="15">
        <v>2700</v>
      </c>
      <c r="I125" s="15">
        <v>5200</v>
      </c>
    </row>
    <row r="126" spans="1:9" x14ac:dyDescent="0.2">
      <c r="A126" s="14">
        <v>2004</v>
      </c>
      <c r="B126" s="14" t="s">
        <v>139</v>
      </c>
      <c r="C126" s="14" t="s">
        <v>140</v>
      </c>
      <c r="D126" s="15">
        <v>8100</v>
      </c>
      <c r="E126" s="15">
        <v>6700</v>
      </c>
      <c r="F126" s="15">
        <v>9900</v>
      </c>
      <c r="G126" s="15">
        <v>3500</v>
      </c>
      <c r="H126" s="15">
        <v>2400</v>
      </c>
      <c r="I126" s="15">
        <v>4900</v>
      </c>
    </row>
    <row r="127" spans="1:9" x14ac:dyDescent="0.2">
      <c r="A127" s="14">
        <v>2005</v>
      </c>
      <c r="B127" s="14" t="s">
        <v>139</v>
      </c>
      <c r="C127" s="14" t="s">
        <v>140</v>
      </c>
      <c r="D127" s="15">
        <v>7400</v>
      </c>
      <c r="E127" s="15">
        <v>6100</v>
      </c>
      <c r="F127" s="15">
        <v>9000</v>
      </c>
      <c r="G127" s="15">
        <v>3200</v>
      </c>
      <c r="H127" s="15">
        <v>2200</v>
      </c>
      <c r="I127" s="15">
        <v>4400</v>
      </c>
    </row>
    <row r="128" spans="1:9" x14ac:dyDescent="0.2">
      <c r="A128" s="14">
        <v>2006</v>
      </c>
      <c r="B128" s="14" t="s">
        <v>139</v>
      </c>
      <c r="C128" s="14" t="s">
        <v>140</v>
      </c>
      <c r="D128" s="15">
        <v>6800</v>
      </c>
      <c r="E128" s="15">
        <v>5600</v>
      </c>
      <c r="F128" s="15">
        <v>8200</v>
      </c>
      <c r="G128" s="15">
        <v>3300</v>
      </c>
      <c r="H128" s="15">
        <v>2300</v>
      </c>
      <c r="I128" s="15">
        <v>4600</v>
      </c>
    </row>
    <row r="129" spans="1:9" x14ac:dyDescent="0.2">
      <c r="A129" s="14">
        <v>2007</v>
      </c>
      <c r="B129" s="14" t="s">
        <v>139</v>
      </c>
      <c r="C129" s="14" t="s">
        <v>140</v>
      </c>
      <c r="D129" s="15">
        <v>6200</v>
      </c>
      <c r="E129" s="15">
        <v>5100</v>
      </c>
      <c r="F129" s="15">
        <v>7600</v>
      </c>
      <c r="G129" s="15">
        <v>3200</v>
      </c>
      <c r="H129" s="15">
        <v>2300</v>
      </c>
      <c r="I129" s="15">
        <v>4300</v>
      </c>
    </row>
    <row r="130" spans="1:9" x14ac:dyDescent="0.2">
      <c r="A130" s="14">
        <v>2008</v>
      </c>
      <c r="B130" s="14" t="s">
        <v>139</v>
      </c>
      <c r="C130" s="14" t="s">
        <v>140</v>
      </c>
      <c r="D130" s="15">
        <v>5500</v>
      </c>
      <c r="E130" s="15">
        <v>4500</v>
      </c>
      <c r="F130" s="15">
        <v>6700</v>
      </c>
      <c r="G130" s="15">
        <v>3300</v>
      </c>
      <c r="H130" s="15">
        <v>2400</v>
      </c>
      <c r="I130" s="15">
        <v>4400</v>
      </c>
    </row>
    <row r="131" spans="1:9" x14ac:dyDescent="0.2">
      <c r="A131" s="14">
        <v>2009</v>
      </c>
      <c r="B131" s="14" t="s">
        <v>139</v>
      </c>
      <c r="C131" s="14" t="s">
        <v>140</v>
      </c>
      <c r="D131" s="15">
        <v>5000</v>
      </c>
      <c r="E131" s="15">
        <v>4000</v>
      </c>
      <c r="F131" s="15">
        <v>6100</v>
      </c>
      <c r="G131" s="15">
        <v>2500</v>
      </c>
      <c r="H131" s="15">
        <v>1600</v>
      </c>
      <c r="I131" s="15">
        <v>3600</v>
      </c>
    </row>
    <row r="132" spans="1:9" x14ac:dyDescent="0.2">
      <c r="A132" s="14">
        <v>2010</v>
      </c>
      <c r="B132" s="14" t="s">
        <v>139</v>
      </c>
      <c r="C132" s="14" t="s">
        <v>140</v>
      </c>
      <c r="D132" s="15">
        <v>4700</v>
      </c>
      <c r="E132" s="15">
        <v>3800</v>
      </c>
      <c r="F132" s="15">
        <v>5800</v>
      </c>
      <c r="G132" s="15">
        <v>3300</v>
      </c>
      <c r="H132" s="15">
        <v>2300</v>
      </c>
      <c r="I132" s="15">
        <v>4400</v>
      </c>
    </row>
    <row r="133" spans="1:9" x14ac:dyDescent="0.2">
      <c r="A133" s="14">
        <v>2011</v>
      </c>
      <c r="B133" s="14" t="s">
        <v>139</v>
      </c>
      <c r="C133" s="14" t="s">
        <v>140</v>
      </c>
      <c r="D133" s="15">
        <v>4100</v>
      </c>
      <c r="E133" s="15">
        <v>3300</v>
      </c>
      <c r="F133" s="15">
        <v>5200</v>
      </c>
      <c r="G133" s="15">
        <v>2700</v>
      </c>
      <c r="H133" s="15">
        <v>1800</v>
      </c>
      <c r="I133" s="15">
        <v>3700</v>
      </c>
    </row>
    <row r="134" spans="1:9" x14ac:dyDescent="0.2">
      <c r="A134" s="14">
        <v>2012</v>
      </c>
      <c r="B134" s="14" t="s">
        <v>139</v>
      </c>
      <c r="C134" s="14" t="s">
        <v>140</v>
      </c>
      <c r="D134" s="15">
        <v>3700</v>
      </c>
      <c r="E134" s="15">
        <v>2900</v>
      </c>
      <c r="F134" s="15">
        <v>4800</v>
      </c>
      <c r="G134" s="15">
        <v>2600</v>
      </c>
      <c r="H134" s="15">
        <v>1700</v>
      </c>
      <c r="I134" s="15">
        <v>3600</v>
      </c>
    </row>
    <row r="135" spans="1:9" x14ac:dyDescent="0.2">
      <c r="A135" s="14">
        <v>2013</v>
      </c>
      <c r="B135" s="14" t="s">
        <v>139</v>
      </c>
      <c r="C135" s="14" t="s">
        <v>140</v>
      </c>
      <c r="D135" s="15">
        <v>3500</v>
      </c>
      <c r="E135" s="15">
        <v>2700</v>
      </c>
      <c r="F135" s="15">
        <v>4600</v>
      </c>
      <c r="G135" s="15">
        <v>2300</v>
      </c>
      <c r="H135" s="15">
        <v>1500</v>
      </c>
      <c r="I135" s="15">
        <v>3300</v>
      </c>
    </row>
    <row r="136" spans="1:9" x14ac:dyDescent="0.2">
      <c r="A136" s="14">
        <v>2014</v>
      </c>
      <c r="B136" s="14" t="s">
        <v>139</v>
      </c>
      <c r="C136" s="14" t="s">
        <v>140</v>
      </c>
      <c r="D136" s="15">
        <v>3200</v>
      </c>
      <c r="E136" s="15">
        <v>2400</v>
      </c>
      <c r="F136" s="15">
        <v>4200</v>
      </c>
      <c r="G136" s="15">
        <v>2400</v>
      </c>
      <c r="H136" s="15">
        <v>1500</v>
      </c>
      <c r="I136" s="15">
        <v>3400</v>
      </c>
    </row>
    <row r="137" spans="1:9" x14ac:dyDescent="0.2">
      <c r="A137" s="14">
        <v>2015</v>
      </c>
      <c r="B137" s="14" t="s">
        <v>139</v>
      </c>
      <c r="C137" s="14" t="s">
        <v>140</v>
      </c>
      <c r="D137" s="15">
        <v>2800</v>
      </c>
      <c r="E137" s="15">
        <v>2000</v>
      </c>
      <c r="F137" s="15">
        <v>3800</v>
      </c>
      <c r="G137" s="15">
        <v>2300</v>
      </c>
      <c r="H137" s="15">
        <v>1500</v>
      </c>
      <c r="I137" s="15">
        <v>3300</v>
      </c>
    </row>
    <row r="138" spans="1:9" x14ac:dyDescent="0.2">
      <c r="A138" s="14">
        <v>2016</v>
      </c>
      <c r="B138" s="14" t="s">
        <v>139</v>
      </c>
      <c r="C138" s="14" t="s">
        <v>140</v>
      </c>
      <c r="D138" s="15">
        <v>2200</v>
      </c>
      <c r="E138" s="15">
        <v>1700</v>
      </c>
      <c r="F138" s="15">
        <v>3100</v>
      </c>
      <c r="G138" s="15">
        <v>1800</v>
      </c>
      <c r="H138" s="15">
        <v>1100</v>
      </c>
      <c r="I138" s="15">
        <v>2800</v>
      </c>
    </row>
    <row r="139" spans="1:9" x14ac:dyDescent="0.2">
      <c r="A139" s="14">
        <v>2017</v>
      </c>
      <c r="B139" s="14" t="s">
        <v>139</v>
      </c>
      <c r="C139" s="14" t="s">
        <v>140</v>
      </c>
      <c r="D139" s="15">
        <v>1700</v>
      </c>
      <c r="E139" s="15">
        <v>1300</v>
      </c>
      <c r="F139" s="15">
        <v>2500</v>
      </c>
      <c r="G139" s="15">
        <v>1600</v>
      </c>
      <c r="H139" s="15">
        <v>960</v>
      </c>
      <c r="I139" s="15">
        <v>2600</v>
      </c>
    </row>
    <row r="140" spans="1:9" x14ac:dyDescent="0.2">
      <c r="A140" s="14">
        <v>2018</v>
      </c>
      <c r="B140" s="14" t="s">
        <v>139</v>
      </c>
      <c r="C140" s="14" t="s">
        <v>140</v>
      </c>
      <c r="D140" s="15">
        <v>1500</v>
      </c>
      <c r="E140" s="15">
        <v>1100</v>
      </c>
      <c r="F140" s="15">
        <v>2200</v>
      </c>
      <c r="G140" s="15">
        <v>1200</v>
      </c>
      <c r="H140" s="15">
        <v>740</v>
      </c>
      <c r="I140" s="15">
        <v>2100</v>
      </c>
    </row>
    <row r="141" spans="1:9" x14ac:dyDescent="0.2">
      <c r="A141" s="14">
        <v>2019</v>
      </c>
      <c r="B141" s="14" t="s">
        <v>139</v>
      </c>
      <c r="C141" s="14" t="s">
        <v>140</v>
      </c>
      <c r="D141" s="15">
        <v>1300</v>
      </c>
      <c r="E141" s="15">
        <v>980</v>
      </c>
      <c r="F141" s="15">
        <v>2000</v>
      </c>
      <c r="G141" s="15">
        <v>1200</v>
      </c>
      <c r="H141" s="15">
        <v>760</v>
      </c>
      <c r="I141" s="15">
        <v>2000</v>
      </c>
    </row>
    <row r="142" spans="1:9" x14ac:dyDescent="0.2">
      <c r="A142" s="14">
        <v>2020</v>
      </c>
      <c r="B142" s="14" t="s">
        <v>139</v>
      </c>
      <c r="C142" s="14" t="s">
        <v>140</v>
      </c>
      <c r="D142" s="15">
        <v>1100</v>
      </c>
      <c r="E142" s="15">
        <v>880</v>
      </c>
      <c r="F142" s="15">
        <v>1700</v>
      </c>
      <c r="G142" s="15">
        <v>1100</v>
      </c>
      <c r="H142" s="15">
        <v>720</v>
      </c>
      <c r="I142" s="15">
        <v>1700</v>
      </c>
    </row>
    <row r="143" spans="1:9" x14ac:dyDescent="0.2">
      <c r="A143" s="14">
        <v>2021</v>
      </c>
      <c r="B143" s="14" t="s">
        <v>139</v>
      </c>
      <c r="C143" s="14" t="s">
        <v>140</v>
      </c>
      <c r="D143" s="15">
        <v>1000</v>
      </c>
      <c r="E143" s="15">
        <v>800</v>
      </c>
      <c r="F143" s="15">
        <v>1600</v>
      </c>
      <c r="G143" s="15">
        <v>1100</v>
      </c>
      <c r="H143" s="15">
        <v>750</v>
      </c>
      <c r="I143" s="15">
        <v>1700</v>
      </c>
    </row>
    <row r="144" spans="1:9" x14ac:dyDescent="0.2">
      <c r="A144" s="14">
        <v>2022</v>
      </c>
      <c r="B144" s="14" t="s">
        <v>139</v>
      </c>
      <c r="C144" s="14" t="s">
        <v>140</v>
      </c>
      <c r="D144" s="15">
        <v>960</v>
      </c>
      <c r="E144" s="15">
        <v>740</v>
      </c>
      <c r="F144" s="15">
        <v>1500</v>
      </c>
      <c r="G144" s="15">
        <v>980</v>
      </c>
      <c r="H144" s="15">
        <v>710</v>
      </c>
      <c r="I144" s="15">
        <v>1500</v>
      </c>
    </row>
    <row r="145" spans="1:9" x14ac:dyDescent="0.2">
      <c r="A145" s="14">
        <v>2023</v>
      </c>
      <c r="B145" s="14" t="s">
        <v>139</v>
      </c>
      <c r="C145" s="14" t="s">
        <v>140</v>
      </c>
      <c r="D145" s="15">
        <v>920</v>
      </c>
      <c r="E145" s="15">
        <v>730</v>
      </c>
      <c r="F145" s="15">
        <v>1500</v>
      </c>
      <c r="G145" s="15">
        <v>860</v>
      </c>
      <c r="H145" s="15">
        <v>620</v>
      </c>
      <c r="I145" s="15">
        <v>1300</v>
      </c>
    </row>
    <row r="146" spans="1:9" x14ac:dyDescent="0.2">
      <c r="A146" s="14">
        <v>2024</v>
      </c>
      <c r="B146" s="14" t="s">
        <v>139</v>
      </c>
      <c r="C146" s="14" t="s">
        <v>140</v>
      </c>
      <c r="D146" s="15">
        <v>870</v>
      </c>
      <c r="E146" s="15">
        <v>690</v>
      </c>
      <c r="F146" s="15">
        <v>1400</v>
      </c>
      <c r="G146" s="15">
        <v>970</v>
      </c>
      <c r="H146" s="15">
        <v>750</v>
      </c>
      <c r="I146" s="15">
        <v>1400</v>
      </c>
    </row>
    <row r="147" spans="1:9" x14ac:dyDescent="0.2">
      <c r="A147" s="14">
        <v>1990</v>
      </c>
      <c r="B147" s="14" t="s">
        <v>143</v>
      </c>
      <c r="C147" s="14" t="s">
        <v>144</v>
      </c>
      <c r="D147" s="15">
        <v>1300</v>
      </c>
      <c r="E147" s="15">
        <v>810</v>
      </c>
      <c r="F147" s="15">
        <v>2100</v>
      </c>
      <c r="G147" s="15" t="s">
        <v>59</v>
      </c>
      <c r="H147" s="15" t="s">
        <v>23</v>
      </c>
      <c r="I147" s="15" t="s">
        <v>47</v>
      </c>
    </row>
    <row r="148" spans="1:9" x14ac:dyDescent="0.2">
      <c r="A148" s="14">
        <v>1991</v>
      </c>
      <c r="B148" s="14" t="s">
        <v>143</v>
      </c>
      <c r="C148" s="14" t="s">
        <v>144</v>
      </c>
      <c r="D148" s="15">
        <v>1900</v>
      </c>
      <c r="E148" s="15">
        <v>1200</v>
      </c>
      <c r="F148" s="15">
        <v>2900</v>
      </c>
      <c r="G148" s="15" t="s">
        <v>78</v>
      </c>
      <c r="H148" s="15" t="s">
        <v>59</v>
      </c>
      <c r="I148" s="15" t="s">
        <v>37</v>
      </c>
    </row>
    <row r="149" spans="1:9" x14ac:dyDescent="0.2">
      <c r="A149" s="14">
        <v>1992</v>
      </c>
      <c r="B149" s="14" t="s">
        <v>143</v>
      </c>
      <c r="C149" s="14" t="s">
        <v>144</v>
      </c>
      <c r="D149" s="15">
        <v>2600</v>
      </c>
      <c r="E149" s="15">
        <v>1700</v>
      </c>
      <c r="F149" s="15">
        <v>3800</v>
      </c>
      <c r="G149" s="15" t="s">
        <v>36</v>
      </c>
      <c r="H149" s="15" t="s">
        <v>49</v>
      </c>
      <c r="I149" s="15" t="s">
        <v>145</v>
      </c>
    </row>
    <row r="150" spans="1:9" x14ac:dyDescent="0.2">
      <c r="A150" s="14">
        <v>1993</v>
      </c>
      <c r="B150" s="14" t="s">
        <v>143</v>
      </c>
      <c r="C150" s="14" t="s">
        <v>144</v>
      </c>
      <c r="D150" s="15">
        <v>3600</v>
      </c>
      <c r="E150" s="15">
        <v>2400</v>
      </c>
      <c r="F150" s="15">
        <v>5100</v>
      </c>
      <c r="G150" s="15" t="s">
        <v>73</v>
      </c>
      <c r="H150" s="15" t="s">
        <v>36</v>
      </c>
      <c r="I150" s="15" t="s">
        <v>72</v>
      </c>
    </row>
    <row r="151" spans="1:9" x14ac:dyDescent="0.2">
      <c r="A151" s="14">
        <v>1994</v>
      </c>
      <c r="B151" s="14" t="s">
        <v>143</v>
      </c>
      <c r="C151" s="14" t="s">
        <v>144</v>
      </c>
      <c r="D151" s="15">
        <v>4800</v>
      </c>
      <c r="E151" s="15">
        <v>3300</v>
      </c>
      <c r="F151" s="15">
        <v>6500</v>
      </c>
      <c r="G151" s="15" t="s">
        <v>50</v>
      </c>
      <c r="H151" s="15" t="s">
        <v>52</v>
      </c>
      <c r="I151" s="15" t="s">
        <v>96</v>
      </c>
    </row>
    <row r="152" spans="1:9" x14ac:dyDescent="0.2">
      <c r="A152" s="14">
        <v>1995</v>
      </c>
      <c r="B152" s="14" t="s">
        <v>143</v>
      </c>
      <c r="C152" s="14" t="s">
        <v>144</v>
      </c>
      <c r="D152" s="15">
        <v>6300</v>
      </c>
      <c r="E152" s="15">
        <v>4500</v>
      </c>
      <c r="F152" s="15">
        <v>8200</v>
      </c>
      <c r="G152" s="15" t="s">
        <v>95</v>
      </c>
      <c r="H152" s="15" t="s">
        <v>72</v>
      </c>
      <c r="I152" s="15" t="s">
        <v>56</v>
      </c>
    </row>
    <row r="153" spans="1:9" x14ac:dyDescent="0.2">
      <c r="A153" s="14">
        <v>1996</v>
      </c>
      <c r="B153" s="14" t="s">
        <v>143</v>
      </c>
      <c r="C153" s="14" t="s">
        <v>144</v>
      </c>
      <c r="D153" s="15">
        <v>8200</v>
      </c>
      <c r="E153" s="15">
        <v>6000</v>
      </c>
      <c r="F153" s="15" t="s">
        <v>22</v>
      </c>
      <c r="G153" s="15" t="s">
        <v>42</v>
      </c>
      <c r="H153" s="15" t="s">
        <v>86</v>
      </c>
      <c r="I153" s="15" t="s">
        <v>170</v>
      </c>
    </row>
    <row r="154" spans="1:9" x14ac:dyDescent="0.2">
      <c r="A154" s="14">
        <v>1997</v>
      </c>
      <c r="B154" s="14" t="s">
        <v>143</v>
      </c>
      <c r="C154" s="14" t="s">
        <v>144</v>
      </c>
      <c r="D154" s="15" t="s">
        <v>22</v>
      </c>
      <c r="E154" s="15">
        <v>7800</v>
      </c>
      <c r="F154" s="15" t="s">
        <v>23</v>
      </c>
      <c r="G154" s="15" t="s">
        <v>56</v>
      </c>
      <c r="H154" s="15" t="s">
        <v>95</v>
      </c>
      <c r="I154" s="15" t="s">
        <v>138</v>
      </c>
    </row>
    <row r="155" spans="1:9" x14ac:dyDescent="0.2">
      <c r="A155" s="14">
        <v>1998</v>
      </c>
      <c r="B155" s="14" t="s">
        <v>143</v>
      </c>
      <c r="C155" s="14" t="s">
        <v>144</v>
      </c>
      <c r="D155" s="15" t="s">
        <v>23</v>
      </c>
      <c r="E155" s="15">
        <v>9900</v>
      </c>
      <c r="F155" s="15" t="s">
        <v>62</v>
      </c>
      <c r="G155" s="15" t="s">
        <v>124</v>
      </c>
      <c r="H155" s="15" t="s">
        <v>54</v>
      </c>
      <c r="I155" s="15" t="s">
        <v>111</v>
      </c>
    </row>
    <row r="156" spans="1:9" x14ac:dyDescent="0.2">
      <c r="A156" s="14">
        <v>1999</v>
      </c>
      <c r="B156" s="14" t="s">
        <v>143</v>
      </c>
      <c r="C156" s="14" t="s">
        <v>144</v>
      </c>
      <c r="D156" s="15" t="s">
        <v>62</v>
      </c>
      <c r="E156" s="15" t="s">
        <v>15</v>
      </c>
      <c r="F156" s="15" t="s">
        <v>51</v>
      </c>
      <c r="G156" s="15" t="s">
        <v>193</v>
      </c>
      <c r="H156" s="15" t="s">
        <v>95</v>
      </c>
      <c r="I156" s="15" t="s">
        <v>101</v>
      </c>
    </row>
    <row r="157" spans="1:9" x14ac:dyDescent="0.2">
      <c r="A157" s="14">
        <v>2000</v>
      </c>
      <c r="B157" s="14" t="s">
        <v>143</v>
      </c>
      <c r="C157" s="14" t="s">
        <v>144</v>
      </c>
      <c r="D157" s="15" t="s">
        <v>16</v>
      </c>
      <c r="E157" s="15" t="s">
        <v>60</v>
      </c>
      <c r="F157" s="15" t="s">
        <v>49</v>
      </c>
      <c r="G157" s="15" t="s">
        <v>42</v>
      </c>
      <c r="H157" s="15" t="s">
        <v>86</v>
      </c>
      <c r="I157" s="15" t="s">
        <v>170</v>
      </c>
    </row>
    <row r="158" spans="1:9" x14ac:dyDescent="0.2">
      <c r="A158" s="14">
        <v>2001</v>
      </c>
      <c r="B158" s="14" t="s">
        <v>143</v>
      </c>
      <c r="C158" s="14" t="s">
        <v>144</v>
      </c>
      <c r="D158" s="15" t="s">
        <v>47</v>
      </c>
      <c r="E158" s="15" t="s">
        <v>16</v>
      </c>
      <c r="F158" s="15" t="s">
        <v>37</v>
      </c>
      <c r="G158" s="15" t="s">
        <v>95</v>
      </c>
      <c r="H158" s="15" t="s">
        <v>50</v>
      </c>
      <c r="I158" s="15" t="s">
        <v>124</v>
      </c>
    </row>
    <row r="159" spans="1:9" x14ac:dyDescent="0.2">
      <c r="A159" s="14">
        <v>2002</v>
      </c>
      <c r="B159" s="14" t="s">
        <v>143</v>
      </c>
      <c r="C159" s="14" t="s">
        <v>144</v>
      </c>
      <c r="D159" s="15" t="s">
        <v>71</v>
      </c>
      <c r="E159" s="15" t="s">
        <v>81</v>
      </c>
      <c r="F159" s="15" t="s">
        <v>46</v>
      </c>
      <c r="G159" s="15" t="s">
        <v>86</v>
      </c>
      <c r="H159" s="15" t="s">
        <v>72</v>
      </c>
      <c r="I159" s="15" t="s">
        <v>42</v>
      </c>
    </row>
    <row r="160" spans="1:9" x14ac:dyDescent="0.2">
      <c r="A160" s="14">
        <v>2003</v>
      </c>
      <c r="B160" s="14" t="s">
        <v>143</v>
      </c>
      <c r="C160" s="14" t="s">
        <v>144</v>
      </c>
      <c r="D160" s="15" t="s">
        <v>113</v>
      </c>
      <c r="E160" s="15" t="s">
        <v>49</v>
      </c>
      <c r="F160" s="15" t="s">
        <v>38</v>
      </c>
      <c r="G160" s="15" t="s">
        <v>50</v>
      </c>
      <c r="H160" s="15" t="s">
        <v>88</v>
      </c>
      <c r="I160" s="15" t="s">
        <v>54</v>
      </c>
    </row>
    <row r="161" spans="1:9" x14ac:dyDescent="0.2">
      <c r="A161" s="14">
        <v>2004</v>
      </c>
      <c r="B161" s="14" t="s">
        <v>143</v>
      </c>
      <c r="C161" s="14" t="s">
        <v>144</v>
      </c>
      <c r="D161" s="15" t="s">
        <v>113</v>
      </c>
      <c r="E161" s="15" t="s">
        <v>71</v>
      </c>
      <c r="F161" s="15" t="s">
        <v>75</v>
      </c>
      <c r="G161" s="15" t="s">
        <v>48</v>
      </c>
      <c r="H161" s="15" t="s">
        <v>73</v>
      </c>
      <c r="I161" s="15" t="s">
        <v>115</v>
      </c>
    </row>
    <row r="162" spans="1:9" x14ac:dyDescent="0.2">
      <c r="A162" s="14">
        <v>2005</v>
      </c>
      <c r="B162" s="14" t="s">
        <v>143</v>
      </c>
      <c r="C162" s="14" t="s">
        <v>144</v>
      </c>
      <c r="D162" s="15" t="s">
        <v>113</v>
      </c>
      <c r="E162" s="15" t="s">
        <v>49</v>
      </c>
      <c r="F162" s="15" t="s">
        <v>38</v>
      </c>
      <c r="G162" s="15" t="s">
        <v>74</v>
      </c>
      <c r="H162" s="15" t="s">
        <v>75</v>
      </c>
      <c r="I162" s="15" t="s">
        <v>122</v>
      </c>
    </row>
    <row r="163" spans="1:9" x14ac:dyDescent="0.2">
      <c r="A163" s="14">
        <v>2006</v>
      </c>
      <c r="B163" s="14" t="s">
        <v>143</v>
      </c>
      <c r="C163" s="14" t="s">
        <v>144</v>
      </c>
      <c r="D163" s="15" t="s">
        <v>113</v>
      </c>
      <c r="E163" s="15" t="s">
        <v>71</v>
      </c>
      <c r="F163" s="15" t="s">
        <v>75</v>
      </c>
      <c r="G163" s="15" t="s">
        <v>52</v>
      </c>
      <c r="H163" s="15" t="s">
        <v>38</v>
      </c>
      <c r="I163" s="15" t="s">
        <v>129</v>
      </c>
    </row>
    <row r="164" spans="1:9" x14ac:dyDescent="0.2">
      <c r="A164" s="14">
        <v>2007</v>
      </c>
      <c r="B164" s="14" t="s">
        <v>143</v>
      </c>
      <c r="C164" s="14" t="s">
        <v>144</v>
      </c>
      <c r="D164" s="15" t="s">
        <v>113</v>
      </c>
      <c r="E164" s="15" t="s">
        <v>49</v>
      </c>
      <c r="F164" s="15" t="s">
        <v>75</v>
      </c>
      <c r="G164" s="15" t="s">
        <v>82</v>
      </c>
      <c r="H164" s="15" t="s">
        <v>46</v>
      </c>
      <c r="I164" s="15" t="s">
        <v>72</v>
      </c>
    </row>
    <row r="165" spans="1:9" x14ac:dyDescent="0.2">
      <c r="A165" s="14">
        <v>2008</v>
      </c>
      <c r="B165" s="14" t="s">
        <v>143</v>
      </c>
      <c r="C165" s="14" t="s">
        <v>144</v>
      </c>
      <c r="D165" s="15" t="s">
        <v>37</v>
      </c>
      <c r="E165" s="15" t="s">
        <v>78</v>
      </c>
      <c r="F165" s="15" t="s">
        <v>79</v>
      </c>
      <c r="G165" s="15" t="s">
        <v>145</v>
      </c>
      <c r="H165" s="15" t="s">
        <v>53</v>
      </c>
      <c r="I165" s="15" t="s">
        <v>87</v>
      </c>
    </row>
    <row r="166" spans="1:9" x14ac:dyDescent="0.2">
      <c r="A166" s="14">
        <v>2009</v>
      </c>
      <c r="B166" s="14" t="s">
        <v>143</v>
      </c>
      <c r="C166" s="14" t="s">
        <v>144</v>
      </c>
      <c r="D166" s="15" t="s">
        <v>61</v>
      </c>
      <c r="E166" s="15" t="s">
        <v>47</v>
      </c>
      <c r="F166" s="15" t="s">
        <v>46</v>
      </c>
      <c r="G166" s="15" t="s">
        <v>38</v>
      </c>
      <c r="H166" s="15" t="s">
        <v>113</v>
      </c>
      <c r="I166" s="15" t="s">
        <v>74</v>
      </c>
    </row>
    <row r="167" spans="1:9" x14ac:dyDescent="0.2">
      <c r="A167" s="14">
        <v>2010</v>
      </c>
      <c r="B167" s="14" t="s">
        <v>143</v>
      </c>
      <c r="C167" s="14" t="s">
        <v>144</v>
      </c>
      <c r="D167" s="15" t="s">
        <v>61</v>
      </c>
      <c r="E167" s="15" t="s">
        <v>47</v>
      </c>
      <c r="F167" s="15" t="s">
        <v>46</v>
      </c>
      <c r="G167" s="15" t="s">
        <v>36</v>
      </c>
      <c r="H167" s="15" t="s">
        <v>71</v>
      </c>
      <c r="I167" s="15" t="s">
        <v>82</v>
      </c>
    </row>
    <row r="168" spans="1:9" x14ac:dyDescent="0.2">
      <c r="A168" s="14">
        <v>2011</v>
      </c>
      <c r="B168" s="14" t="s">
        <v>143</v>
      </c>
      <c r="C168" s="14" t="s">
        <v>144</v>
      </c>
      <c r="D168" s="15" t="s">
        <v>61</v>
      </c>
      <c r="E168" s="15" t="s">
        <v>78</v>
      </c>
      <c r="F168" s="15" t="s">
        <v>79</v>
      </c>
      <c r="G168" s="15" t="s">
        <v>53</v>
      </c>
      <c r="H168" s="15" t="s">
        <v>49</v>
      </c>
      <c r="I168" s="15" t="s">
        <v>82</v>
      </c>
    </row>
    <row r="169" spans="1:9" x14ac:dyDescent="0.2">
      <c r="A169" s="14">
        <v>2012</v>
      </c>
      <c r="B169" s="14" t="s">
        <v>143</v>
      </c>
      <c r="C169" s="14" t="s">
        <v>144</v>
      </c>
      <c r="D169" s="15" t="s">
        <v>61</v>
      </c>
      <c r="E169" s="15" t="s">
        <v>47</v>
      </c>
      <c r="F169" s="15" t="s">
        <v>46</v>
      </c>
      <c r="G169" s="15" t="s">
        <v>61</v>
      </c>
      <c r="H169" s="15" t="s">
        <v>81</v>
      </c>
      <c r="I169" s="15" t="s">
        <v>79</v>
      </c>
    </row>
    <row r="170" spans="1:9" x14ac:dyDescent="0.2">
      <c r="A170" s="14">
        <v>2013</v>
      </c>
      <c r="B170" s="14" t="s">
        <v>143</v>
      </c>
      <c r="C170" s="14" t="s">
        <v>144</v>
      </c>
      <c r="D170" s="15" t="s">
        <v>61</v>
      </c>
      <c r="E170" s="15" t="s">
        <v>78</v>
      </c>
      <c r="F170" s="15" t="s">
        <v>79</v>
      </c>
      <c r="G170" s="15" t="s">
        <v>49</v>
      </c>
      <c r="H170" s="15" t="s">
        <v>16</v>
      </c>
      <c r="I170" s="15" t="s">
        <v>36</v>
      </c>
    </row>
    <row r="171" spans="1:9" x14ac:dyDescent="0.2">
      <c r="A171" s="14">
        <v>2014</v>
      </c>
      <c r="B171" s="14" t="s">
        <v>143</v>
      </c>
      <c r="C171" s="14" t="s">
        <v>144</v>
      </c>
      <c r="D171" s="15" t="s">
        <v>37</v>
      </c>
      <c r="E171" s="15" t="s">
        <v>49</v>
      </c>
      <c r="F171" s="15" t="s">
        <v>79</v>
      </c>
      <c r="G171" s="15" t="s">
        <v>47</v>
      </c>
      <c r="H171" s="15" t="s">
        <v>59</v>
      </c>
      <c r="I171" s="15" t="s">
        <v>53</v>
      </c>
    </row>
    <row r="172" spans="1:9" x14ac:dyDescent="0.2">
      <c r="A172" s="14">
        <v>2015</v>
      </c>
      <c r="B172" s="14" t="s">
        <v>143</v>
      </c>
      <c r="C172" s="14" t="s">
        <v>144</v>
      </c>
      <c r="D172" s="15" t="s">
        <v>37</v>
      </c>
      <c r="E172" s="15" t="s">
        <v>78</v>
      </c>
      <c r="F172" s="15" t="s">
        <v>79</v>
      </c>
      <c r="G172" s="15" t="s">
        <v>81</v>
      </c>
      <c r="H172" s="15" t="s">
        <v>62</v>
      </c>
      <c r="I172" s="15" t="s">
        <v>113</v>
      </c>
    </row>
    <row r="173" spans="1:9" x14ac:dyDescent="0.2">
      <c r="A173" s="14">
        <v>2016</v>
      </c>
      <c r="B173" s="14" t="s">
        <v>143</v>
      </c>
      <c r="C173" s="14" t="s">
        <v>144</v>
      </c>
      <c r="D173" s="15" t="s">
        <v>71</v>
      </c>
      <c r="E173" s="15" t="s">
        <v>47</v>
      </c>
      <c r="F173" s="15" t="s">
        <v>36</v>
      </c>
      <c r="G173" s="15" t="s">
        <v>81</v>
      </c>
      <c r="H173" s="15" t="s">
        <v>60</v>
      </c>
      <c r="I173" s="15" t="s">
        <v>113</v>
      </c>
    </row>
    <row r="174" spans="1:9" x14ac:dyDescent="0.2">
      <c r="A174" s="14">
        <v>2017</v>
      </c>
      <c r="B174" s="14" t="s">
        <v>143</v>
      </c>
      <c r="C174" s="14" t="s">
        <v>144</v>
      </c>
      <c r="D174" s="15" t="s">
        <v>81</v>
      </c>
      <c r="E174" s="15" t="s">
        <v>59</v>
      </c>
      <c r="F174" s="15" t="s">
        <v>61</v>
      </c>
      <c r="G174" s="15" t="s">
        <v>16</v>
      </c>
      <c r="H174" s="15" t="s">
        <v>17</v>
      </c>
      <c r="I174" s="15" t="s">
        <v>61</v>
      </c>
    </row>
    <row r="175" spans="1:9" x14ac:dyDescent="0.2">
      <c r="A175" s="14">
        <v>2018</v>
      </c>
      <c r="B175" s="14" t="s">
        <v>143</v>
      </c>
      <c r="C175" s="14" t="s">
        <v>144</v>
      </c>
      <c r="D175" s="15" t="s">
        <v>59</v>
      </c>
      <c r="E175" s="15" t="s">
        <v>60</v>
      </c>
      <c r="F175" s="15" t="s">
        <v>78</v>
      </c>
      <c r="G175" s="15" t="s">
        <v>59</v>
      </c>
      <c r="H175" s="15" t="s">
        <v>23</v>
      </c>
      <c r="I175" s="15" t="s">
        <v>71</v>
      </c>
    </row>
    <row r="176" spans="1:9" x14ac:dyDescent="0.2">
      <c r="A176" s="14">
        <v>2019</v>
      </c>
      <c r="B176" s="14" t="s">
        <v>143</v>
      </c>
      <c r="C176" s="14" t="s">
        <v>144</v>
      </c>
      <c r="D176" s="15" t="s">
        <v>60</v>
      </c>
      <c r="E176" s="15" t="s">
        <v>15</v>
      </c>
      <c r="F176" s="15" t="s">
        <v>51</v>
      </c>
      <c r="G176" s="15" t="s">
        <v>62</v>
      </c>
      <c r="H176" s="15" t="s">
        <v>15</v>
      </c>
      <c r="I176" s="15" t="s">
        <v>49</v>
      </c>
    </row>
    <row r="177" spans="1:9" x14ac:dyDescent="0.2">
      <c r="A177" s="14">
        <v>2020</v>
      </c>
      <c r="B177" s="14" t="s">
        <v>143</v>
      </c>
      <c r="C177" s="14" t="s">
        <v>144</v>
      </c>
      <c r="D177" s="15" t="s">
        <v>23</v>
      </c>
      <c r="E177" s="15" t="s">
        <v>24</v>
      </c>
      <c r="F177" s="15" t="s">
        <v>59</v>
      </c>
      <c r="G177" s="15" t="s">
        <v>62</v>
      </c>
      <c r="H177" s="15" t="s">
        <v>15</v>
      </c>
      <c r="I177" s="15" t="s">
        <v>49</v>
      </c>
    </row>
    <row r="178" spans="1:9" x14ac:dyDescent="0.2">
      <c r="A178" s="14">
        <v>2021</v>
      </c>
      <c r="B178" s="14" t="s">
        <v>143</v>
      </c>
      <c r="C178" s="14" t="s">
        <v>144</v>
      </c>
      <c r="D178" s="15" t="s">
        <v>24</v>
      </c>
      <c r="E178" s="15">
        <v>9200</v>
      </c>
      <c r="F178" s="15" t="s">
        <v>17</v>
      </c>
      <c r="G178" s="15" t="s">
        <v>17</v>
      </c>
      <c r="H178" s="15">
        <v>9500</v>
      </c>
      <c r="I178" s="15" t="s">
        <v>47</v>
      </c>
    </row>
    <row r="179" spans="1:9" x14ac:dyDescent="0.2">
      <c r="A179" s="14">
        <v>2022</v>
      </c>
      <c r="B179" s="14" t="s">
        <v>143</v>
      </c>
      <c r="C179" s="14" t="s">
        <v>144</v>
      </c>
      <c r="D179" s="15">
        <v>9700</v>
      </c>
      <c r="E179" s="15">
        <v>7900</v>
      </c>
      <c r="F179" s="15" t="s">
        <v>15</v>
      </c>
      <c r="G179" s="15" t="s">
        <v>24</v>
      </c>
      <c r="H179" s="15">
        <v>7500</v>
      </c>
      <c r="I179" s="15" t="s">
        <v>16</v>
      </c>
    </row>
    <row r="180" spans="1:9" x14ac:dyDescent="0.2">
      <c r="A180" s="14">
        <v>2023</v>
      </c>
      <c r="B180" s="14" t="s">
        <v>143</v>
      </c>
      <c r="C180" s="14" t="s">
        <v>144</v>
      </c>
      <c r="D180" s="15">
        <v>8500</v>
      </c>
      <c r="E180" s="15">
        <v>6800</v>
      </c>
      <c r="F180" s="15" t="s">
        <v>24</v>
      </c>
      <c r="G180" s="15" t="s">
        <v>24</v>
      </c>
      <c r="H180" s="15">
        <v>7400</v>
      </c>
      <c r="I180" s="15" t="s">
        <v>59</v>
      </c>
    </row>
    <row r="181" spans="1:9" x14ac:dyDescent="0.2">
      <c r="A181" s="14">
        <v>2024</v>
      </c>
      <c r="B181" s="14" t="s">
        <v>143</v>
      </c>
      <c r="C181" s="14" t="s">
        <v>144</v>
      </c>
      <c r="D181" s="15">
        <v>7600</v>
      </c>
      <c r="E181" s="15">
        <v>6000</v>
      </c>
      <c r="F181" s="15">
        <v>9600</v>
      </c>
      <c r="G181" s="15" t="s">
        <v>22</v>
      </c>
      <c r="H181" s="15">
        <v>7300</v>
      </c>
      <c r="I181" s="15" t="s">
        <v>62</v>
      </c>
    </row>
    <row r="182" spans="1:9" x14ac:dyDescent="0.2">
      <c r="A182" s="14">
        <v>1990</v>
      </c>
      <c r="B182" s="14" t="s">
        <v>146</v>
      </c>
      <c r="C182" s="14" t="s">
        <v>147</v>
      </c>
      <c r="D182" s="15" t="s">
        <v>30</v>
      </c>
      <c r="E182" s="15" t="s">
        <v>30</v>
      </c>
      <c r="F182" s="15" t="s">
        <v>30</v>
      </c>
      <c r="G182" s="15" t="s">
        <v>31</v>
      </c>
      <c r="H182" s="15" t="s">
        <v>30</v>
      </c>
      <c r="I182" s="15" t="s">
        <v>32</v>
      </c>
    </row>
    <row r="183" spans="1:9" x14ac:dyDescent="0.2">
      <c r="A183" s="14">
        <v>1991</v>
      </c>
      <c r="B183" s="14" t="s">
        <v>146</v>
      </c>
      <c r="C183" s="14" t="s">
        <v>147</v>
      </c>
      <c r="D183" s="15" t="s">
        <v>30</v>
      </c>
      <c r="E183" s="15" t="s">
        <v>30</v>
      </c>
      <c r="F183" s="15" t="s">
        <v>30</v>
      </c>
      <c r="G183" s="15" t="s">
        <v>31</v>
      </c>
      <c r="H183" s="15" t="s">
        <v>30</v>
      </c>
      <c r="I183" s="15" t="s">
        <v>32</v>
      </c>
    </row>
    <row r="184" spans="1:9" x14ac:dyDescent="0.2">
      <c r="A184" s="14">
        <v>1992</v>
      </c>
      <c r="B184" s="14" t="s">
        <v>146</v>
      </c>
      <c r="C184" s="14" t="s">
        <v>147</v>
      </c>
      <c r="D184" s="15" t="s">
        <v>30</v>
      </c>
      <c r="E184" s="15" t="s">
        <v>30</v>
      </c>
      <c r="F184" s="15" t="s">
        <v>30</v>
      </c>
      <c r="G184" s="15" t="s">
        <v>31</v>
      </c>
      <c r="H184" s="15" t="s">
        <v>30</v>
      </c>
      <c r="I184" s="15" t="s">
        <v>32</v>
      </c>
    </row>
    <row r="185" spans="1:9" x14ac:dyDescent="0.2">
      <c r="A185" s="14">
        <v>1993</v>
      </c>
      <c r="B185" s="14" t="s">
        <v>146</v>
      </c>
      <c r="C185" s="14" t="s">
        <v>147</v>
      </c>
      <c r="D185" s="15" t="s">
        <v>30</v>
      </c>
      <c r="E185" s="15" t="s">
        <v>30</v>
      </c>
      <c r="F185" s="15" t="s">
        <v>30</v>
      </c>
      <c r="G185" s="15" t="s">
        <v>31</v>
      </c>
      <c r="H185" s="15" t="s">
        <v>31</v>
      </c>
      <c r="I185" s="15" t="s">
        <v>32</v>
      </c>
    </row>
    <row r="186" spans="1:9" x14ac:dyDescent="0.2">
      <c r="A186" s="14">
        <v>1994</v>
      </c>
      <c r="B186" s="14" t="s">
        <v>146</v>
      </c>
      <c r="C186" s="14" t="s">
        <v>147</v>
      </c>
      <c r="D186" s="15" t="s">
        <v>30</v>
      </c>
      <c r="E186" s="15" t="s">
        <v>30</v>
      </c>
      <c r="F186" s="15" t="s">
        <v>30</v>
      </c>
      <c r="G186" s="15" t="s">
        <v>31</v>
      </c>
      <c r="H186" s="15" t="s">
        <v>31</v>
      </c>
      <c r="I186" s="15" t="s">
        <v>32</v>
      </c>
    </row>
    <row r="187" spans="1:9" x14ac:dyDescent="0.2">
      <c r="A187" s="14">
        <v>1995</v>
      </c>
      <c r="B187" s="14" t="s">
        <v>146</v>
      </c>
      <c r="C187" s="14" t="s">
        <v>147</v>
      </c>
      <c r="D187" s="15" t="s">
        <v>30</v>
      </c>
      <c r="E187" s="15" t="s">
        <v>30</v>
      </c>
      <c r="F187" s="15" t="s">
        <v>31</v>
      </c>
      <c r="G187" s="15" t="s">
        <v>31</v>
      </c>
      <c r="H187" s="15" t="s">
        <v>31</v>
      </c>
      <c r="I187" s="15" t="s">
        <v>32</v>
      </c>
    </row>
    <row r="188" spans="1:9" x14ac:dyDescent="0.2">
      <c r="A188" s="14">
        <v>1996</v>
      </c>
      <c r="B188" s="14" t="s">
        <v>146</v>
      </c>
      <c r="C188" s="14" t="s">
        <v>147</v>
      </c>
      <c r="D188" s="15" t="s">
        <v>30</v>
      </c>
      <c r="E188" s="15" t="s">
        <v>30</v>
      </c>
      <c r="F188" s="15" t="s">
        <v>31</v>
      </c>
      <c r="G188" s="15" t="s">
        <v>31</v>
      </c>
      <c r="H188" s="15" t="s">
        <v>31</v>
      </c>
      <c r="I188" s="15" t="s">
        <v>32</v>
      </c>
    </row>
    <row r="189" spans="1:9" x14ac:dyDescent="0.2">
      <c r="A189" s="14">
        <v>1997</v>
      </c>
      <c r="B189" s="14" t="s">
        <v>146</v>
      </c>
      <c r="C189" s="14" t="s">
        <v>147</v>
      </c>
      <c r="D189" s="15" t="s">
        <v>30</v>
      </c>
      <c r="E189" s="15" t="s">
        <v>30</v>
      </c>
      <c r="F189" s="15" t="s">
        <v>31</v>
      </c>
      <c r="G189" s="15" t="s">
        <v>31</v>
      </c>
      <c r="H189" s="15" t="s">
        <v>31</v>
      </c>
      <c r="I189" s="15" t="s">
        <v>32</v>
      </c>
    </row>
    <row r="190" spans="1:9" x14ac:dyDescent="0.2">
      <c r="A190" s="14">
        <v>1998</v>
      </c>
      <c r="B190" s="14" t="s">
        <v>146</v>
      </c>
      <c r="C190" s="14" t="s">
        <v>147</v>
      </c>
      <c r="D190" s="15" t="s">
        <v>30</v>
      </c>
      <c r="E190" s="15" t="s">
        <v>30</v>
      </c>
      <c r="F190" s="15" t="s">
        <v>31</v>
      </c>
      <c r="G190" s="15" t="s">
        <v>31</v>
      </c>
      <c r="H190" s="15" t="s">
        <v>31</v>
      </c>
      <c r="I190" s="15" t="s">
        <v>32</v>
      </c>
    </row>
    <row r="191" spans="1:9" x14ac:dyDescent="0.2">
      <c r="A191" s="14">
        <v>1999</v>
      </c>
      <c r="B191" s="14" t="s">
        <v>146</v>
      </c>
      <c r="C191" s="14" t="s">
        <v>147</v>
      </c>
      <c r="D191" s="15" t="s">
        <v>30</v>
      </c>
      <c r="E191" s="15" t="s">
        <v>30</v>
      </c>
      <c r="F191" s="15" t="s">
        <v>31</v>
      </c>
      <c r="G191" s="15" t="s">
        <v>31</v>
      </c>
      <c r="H191" s="15" t="s">
        <v>31</v>
      </c>
      <c r="I191" s="15" t="s">
        <v>32</v>
      </c>
    </row>
    <row r="192" spans="1:9" x14ac:dyDescent="0.2">
      <c r="A192" s="14">
        <v>2000</v>
      </c>
      <c r="B192" s="14" t="s">
        <v>146</v>
      </c>
      <c r="C192" s="14" t="s">
        <v>147</v>
      </c>
      <c r="D192" s="15" t="s">
        <v>31</v>
      </c>
      <c r="E192" s="15" t="s">
        <v>30</v>
      </c>
      <c r="F192" s="15" t="s">
        <v>31</v>
      </c>
      <c r="G192" s="15" t="s">
        <v>31</v>
      </c>
      <c r="H192" s="15" t="s">
        <v>31</v>
      </c>
      <c r="I192" s="15" t="s">
        <v>32</v>
      </c>
    </row>
    <row r="193" spans="1:9" x14ac:dyDescent="0.2">
      <c r="A193" s="14">
        <v>2001</v>
      </c>
      <c r="B193" s="14" t="s">
        <v>146</v>
      </c>
      <c r="C193" s="14" t="s">
        <v>147</v>
      </c>
      <c r="D193" s="15" t="s">
        <v>31</v>
      </c>
      <c r="E193" s="15" t="s">
        <v>30</v>
      </c>
      <c r="F193" s="15" t="s">
        <v>31</v>
      </c>
      <c r="G193" s="15" t="s">
        <v>31</v>
      </c>
      <c r="H193" s="15" t="s">
        <v>31</v>
      </c>
      <c r="I193" s="15" t="s">
        <v>32</v>
      </c>
    </row>
    <row r="194" spans="1:9" x14ac:dyDescent="0.2">
      <c r="A194" s="14">
        <v>2002</v>
      </c>
      <c r="B194" s="14" t="s">
        <v>146</v>
      </c>
      <c r="C194" s="14" t="s">
        <v>147</v>
      </c>
      <c r="D194" s="15" t="s">
        <v>31</v>
      </c>
      <c r="E194" s="15" t="s">
        <v>30</v>
      </c>
      <c r="F194" s="15" t="s">
        <v>31</v>
      </c>
      <c r="G194" s="15" t="s">
        <v>31</v>
      </c>
      <c r="H194" s="15" t="s">
        <v>31</v>
      </c>
      <c r="I194" s="15" t="s">
        <v>32</v>
      </c>
    </row>
    <row r="195" spans="1:9" x14ac:dyDescent="0.2">
      <c r="A195" s="14">
        <v>2003</v>
      </c>
      <c r="B195" s="14" t="s">
        <v>146</v>
      </c>
      <c r="C195" s="14" t="s">
        <v>147</v>
      </c>
      <c r="D195" s="15" t="s">
        <v>31</v>
      </c>
      <c r="E195" s="15" t="s">
        <v>30</v>
      </c>
      <c r="F195" s="15" t="s">
        <v>31</v>
      </c>
      <c r="G195" s="15" t="s">
        <v>31</v>
      </c>
      <c r="H195" s="15" t="s">
        <v>31</v>
      </c>
      <c r="I195" s="15" t="s">
        <v>32</v>
      </c>
    </row>
    <row r="196" spans="1:9" x14ac:dyDescent="0.2">
      <c r="A196" s="14">
        <v>2004</v>
      </c>
      <c r="B196" s="14" t="s">
        <v>146</v>
      </c>
      <c r="C196" s="14" t="s">
        <v>147</v>
      </c>
      <c r="D196" s="15" t="s">
        <v>31</v>
      </c>
      <c r="E196" s="15" t="s">
        <v>31</v>
      </c>
      <c r="F196" s="15" t="s">
        <v>31</v>
      </c>
      <c r="G196" s="15" t="s">
        <v>31</v>
      </c>
      <c r="H196" s="15" t="s">
        <v>31</v>
      </c>
      <c r="I196" s="15" t="s">
        <v>32</v>
      </c>
    </row>
    <row r="197" spans="1:9" x14ac:dyDescent="0.2">
      <c r="A197" s="14">
        <v>2005</v>
      </c>
      <c r="B197" s="14" t="s">
        <v>146</v>
      </c>
      <c r="C197" s="14" t="s">
        <v>147</v>
      </c>
      <c r="D197" s="15" t="s">
        <v>31</v>
      </c>
      <c r="E197" s="15" t="s">
        <v>30</v>
      </c>
      <c r="F197" s="15" t="s">
        <v>31</v>
      </c>
      <c r="G197" s="15" t="s">
        <v>31</v>
      </c>
      <c r="H197" s="15" t="s">
        <v>31</v>
      </c>
      <c r="I197" s="15" t="s">
        <v>32</v>
      </c>
    </row>
    <row r="198" spans="1:9" x14ac:dyDescent="0.2">
      <c r="A198" s="14">
        <v>2006</v>
      </c>
      <c r="B198" s="14" t="s">
        <v>146</v>
      </c>
      <c r="C198" s="14" t="s">
        <v>147</v>
      </c>
      <c r="D198" s="15" t="s">
        <v>30</v>
      </c>
      <c r="E198" s="15" t="s">
        <v>30</v>
      </c>
      <c r="F198" s="15" t="s">
        <v>31</v>
      </c>
      <c r="G198" s="15" t="s">
        <v>31</v>
      </c>
      <c r="H198" s="15" t="s">
        <v>31</v>
      </c>
      <c r="I198" s="15" t="s">
        <v>32</v>
      </c>
    </row>
    <row r="199" spans="1:9" x14ac:dyDescent="0.2">
      <c r="A199" s="14">
        <v>2007</v>
      </c>
      <c r="B199" s="14" t="s">
        <v>146</v>
      </c>
      <c r="C199" s="14" t="s">
        <v>147</v>
      </c>
      <c r="D199" s="15" t="s">
        <v>30</v>
      </c>
      <c r="E199" s="15" t="s">
        <v>30</v>
      </c>
      <c r="F199" s="15" t="s">
        <v>30</v>
      </c>
      <c r="G199" s="15" t="s">
        <v>31</v>
      </c>
      <c r="H199" s="15" t="s">
        <v>31</v>
      </c>
      <c r="I199" s="15" t="s">
        <v>31</v>
      </c>
    </row>
    <row r="200" spans="1:9" x14ac:dyDescent="0.2">
      <c r="A200" s="14">
        <v>2008</v>
      </c>
      <c r="B200" s="14" t="s">
        <v>146</v>
      </c>
      <c r="C200" s="14" t="s">
        <v>147</v>
      </c>
      <c r="D200" s="15" t="s">
        <v>30</v>
      </c>
      <c r="E200" s="15" t="s">
        <v>30</v>
      </c>
      <c r="F200" s="15" t="s">
        <v>30</v>
      </c>
      <c r="G200" s="15" t="s">
        <v>31</v>
      </c>
      <c r="H200" s="15" t="s">
        <v>31</v>
      </c>
      <c r="I200" s="15" t="s">
        <v>31</v>
      </c>
    </row>
    <row r="201" spans="1:9" x14ac:dyDescent="0.2">
      <c r="A201" s="14">
        <v>2009</v>
      </c>
      <c r="B201" s="14" t="s">
        <v>146</v>
      </c>
      <c r="C201" s="14" t="s">
        <v>147</v>
      </c>
      <c r="D201" s="15" t="s">
        <v>30</v>
      </c>
      <c r="E201" s="15" t="s">
        <v>30</v>
      </c>
      <c r="F201" s="15" t="s">
        <v>30</v>
      </c>
      <c r="G201" s="15" t="s">
        <v>31</v>
      </c>
      <c r="H201" s="15" t="s">
        <v>31</v>
      </c>
      <c r="I201" s="15" t="s">
        <v>32</v>
      </c>
    </row>
    <row r="202" spans="1:9" x14ac:dyDescent="0.2">
      <c r="A202" s="14">
        <v>2010</v>
      </c>
      <c r="B202" s="14" t="s">
        <v>146</v>
      </c>
      <c r="C202" s="14" t="s">
        <v>147</v>
      </c>
      <c r="D202" s="15" t="s">
        <v>30</v>
      </c>
      <c r="E202" s="15" t="s">
        <v>30</v>
      </c>
      <c r="F202" s="15" t="s">
        <v>30</v>
      </c>
      <c r="G202" s="15" t="s">
        <v>31</v>
      </c>
      <c r="H202" s="15" t="s">
        <v>31</v>
      </c>
      <c r="I202" s="15" t="s">
        <v>32</v>
      </c>
    </row>
    <row r="203" spans="1:9" x14ac:dyDescent="0.2">
      <c r="A203" s="14">
        <v>2011</v>
      </c>
      <c r="B203" s="14" t="s">
        <v>146</v>
      </c>
      <c r="C203" s="14" t="s">
        <v>147</v>
      </c>
      <c r="D203" s="15" t="s">
        <v>30</v>
      </c>
      <c r="E203" s="15" t="s">
        <v>30</v>
      </c>
      <c r="F203" s="15" t="s">
        <v>30</v>
      </c>
      <c r="G203" s="15" t="s">
        <v>31</v>
      </c>
      <c r="H203" s="15" t="s">
        <v>31</v>
      </c>
      <c r="I203" s="15" t="s">
        <v>32</v>
      </c>
    </row>
    <row r="204" spans="1:9" x14ac:dyDescent="0.2">
      <c r="A204" s="14">
        <v>2012</v>
      </c>
      <c r="B204" s="14" t="s">
        <v>146</v>
      </c>
      <c r="C204" s="14" t="s">
        <v>147</v>
      </c>
      <c r="D204" s="15" t="s">
        <v>30</v>
      </c>
      <c r="E204" s="15" t="s">
        <v>30</v>
      </c>
      <c r="F204" s="15" t="s">
        <v>30</v>
      </c>
      <c r="G204" s="15" t="s">
        <v>31</v>
      </c>
      <c r="H204" s="15" t="s">
        <v>31</v>
      </c>
      <c r="I204" s="15" t="s">
        <v>32</v>
      </c>
    </row>
    <row r="205" spans="1:9" x14ac:dyDescent="0.2">
      <c r="A205" s="14">
        <v>2013</v>
      </c>
      <c r="B205" s="14" t="s">
        <v>146</v>
      </c>
      <c r="C205" s="14" t="s">
        <v>147</v>
      </c>
      <c r="D205" s="15" t="s">
        <v>30</v>
      </c>
      <c r="E205" s="15" t="s">
        <v>30</v>
      </c>
      <c r="F205" s="15" t="s">
        <v>30</v>
      </c>
      <c r="G205" s="15" t="s">
        <v>31</v>
      </c>
      <c r="H205" s="15" t="s">
        <v>31</v>
      </c>
      <c r="I205" s="15" t="s">
        <v>32</v>
      </c>
    </row>
    <row r="206" spans="1:9" x14ac:dyDescent="0.2">
      <c r="A206" s="14">
        <v>2014</v>
      </c>
      <c r="B206" s="14" t="s">
        <v>146</v>
      </c>
      <c r="C206" s="14" t="s">
        <v>147</v>
      </c>
      <c r="D206" s="15" t="s">
        <v>30</v>
      </c>
      <c r="E206" s="15" t="s">
        <v>30</v>
      </c>
      <c r="F206" s="15" t="s">
        <v>30</v>
      </c>
      <c r="G206" s="15" t="s">
        <v>31</v>
      </c>
      <c r="H206" s="15" t="s">
        <v>31</v>
      </c>
      <c r="I206" s="15" t="s">
        <v>32</v>
      </c>
    </row>
    <row r="207" spans="1:9" x14ac:dyDescent="0.2">
      <c r="A207" s="14">
        <v>2015</v>
      </c>
      <c r="B207" s="14" t="s">
        <v>146</v>
      </c>
      <c r="C207" s="14" t="s">
        <v>147</v>
      </c>
      <c r="D207" s="15" t="s">
        <v>30</v>
      </c>
      <c r="E207" s="15" t="s">
        <v>30</v>
      </c>
      <c r="F207" s="15" t="s">
        <v>30</v>
      </c>
      <c r="G207" s="15" t="s">
        <v>32</v>
      </c>
      <c r="H207" s="15" t="s">
        <v>31</v>
      </c>
      <c r="I207" s="15" t="s">
        <v>32</v>
      </c>
    </row>
    <row r="208" spans="1:9" x14ac:dyDescent="0.2">
      <c r="A208" s="14">
        <v>2016</v>
      </c>
      <c r="B208" s="14" t="s">
        <v>146</v>
      </c>
      <c r="C208" s="14" t="s">
        <v>147</v>
      </c>
      <c r="D208" s="15" t="s">
        <v>30</v>
      </c>
      <c r="E208" s="15" t="s">
        <v>30</v>
      </c>
      <c r="F208" s="15" t="s">
        <v>30</v>
      </c>
      <c r="G208" s="15" t="s">
        <v>32</v>
      </c>
      <c r="H208" s="15" t="s">
        <v>31</v>
      </c>
      <c r="I208" s="15" t="s">
        <v>32</v>
      </c>
    </row>
    <row r="209" spans="1:9" x14ac:dyDescent="0.2">
      <c r="A209" s="14">
        <v>2017</v>
      </c>
      <c r="B209" s="14" t="s">
        <v>146</v>
      </c>
      <c r="C209" s="14" t="s">
        <v>147</v>
      </c>
      <c r="D209" s="15" t="s">
        <v>30</v>
      </c>
      <c r="E209" s="15" t="s">
        <v>30</v>
      </c>
      <c r="F209" s="15" t="s">
        <v>31</v>
      </c>
      <c r="G209" s="15" t="s">
        <v>32</v>
      </c>
      <c r="H209" s="15" t="s">
        <v>31</v>
      </c>
      <c r="I209" s="15" t="s">
        <v>32</v>
      </c>
    </row>
    <row r="210" spans="1:9" x14ac:dyDescent="0.2">
      <c r="A210" s="14">
        <v>2018</v>
      </c>
      <c r="B210" s="14" t="s">
        <v>146</v>
      </c>
      <c r="C210" s="14" t="s">
        <v>147</v>
      </c>
      <c r="D210" s="15" t="s">
        <v>30</v>
      </c>
      <c r="E210" s="15" t="s">
        <v>30</v>
      </c>
      <c r="F210" s="15" t="s">
        <v>30</v>
      </c>
      <c r="G210" s="15" t="s">
        <v>32</v>
      </c>
      <c r="H210" s="15" t="s">
        <v>31</v>
      </c>
      <c r="I210" s="15" t="s">
        <v>32</v>
      </c>
    </row>
    <row r="211" spans="1:9" x14ac:dyDescent="0.2">
      <c r="A211" s="14">
        <v>2019</v>
      </c>
      <c r="B211" s="14" t="s">
        <v>146</v>
      </c>
      <c r="C211" s="14" t="s">
        <v>147</v>
      </c>
      <c r="D211" s="15" t="s">
        <v>30</v>
      </c>
      <c r="E211" s="15" t="s">
        <v>30</v>
      </c>
      <c r="F211" s="15" t="s">
        <v>30</v>
      </c>
      <c r="G211" s="15" t="s">
        <v>32</v>
      </c>
      <c r="H211" s="15" t="s">
        <v>31</v>
      </c>
      <c r="I211" s="15" t="s">
        <v>32</v>
      </c>
    </row>
    <row r="212" spans="1:9" x14ac:dyDescent="0.2">
      <c r="A212" s="14">
        <v>2020</v>
      </c>
      <c r="B212" s="14" t="s">
        <v>146</v>
      </c>
      <c r="C212" s="14" t="s">
        <v>147</v>
      </c>
      <c r="D212" s="15" t="s">
        <v>30</v>
      </c>
      <c r="E212" s="15" t="s">
        <v>30</v>
      </c>
      <c r="F212" s="15" t="s">
        <v>30</v>
      </c>
      <c r="G212" s="15" t="s">
        <v>32</v>
      </c>
      <c r="H212" s="15" t="s">
        <v>31</v>
      </c>
      <c r="I212" s="15" t="s">
        <v>32</v>
      </c>
    </row>
    <row r="213" spans="1:9" x14ac:dyDescent="0.2">
      <c r="A213" s="14">
        <v>2021</v>
      </c>
      <c r="B213" s="14" t="s">
        <v>146</v>
      </c>
      <c r="C213" s="14" t="s">
        <v>147</v>
      </c>
      <c r="D213" s="15" t="s">
        <v>30</v>
      </c>
      <c r="E213" s="15" t="s">
        <v>30</v>
      </c>
      <c r="F213" s="15" t="s">
        <v>30</v>
      </c>
      <c r="G213" s="15" t="s">
        <v>31</v>
      </c>
      <c r="H213" s="15" t="s">
        <v>31</v>
      </c>
      <c r="I213" s="15" t="s">
        <v>32</v>
      </c>
    </row>
    <row r="214" spans="1:9" x14ac:dyDescent="0.2">
      <c r="A214" s="14">
        <v>2022</v>
      </c>
      <c r="B214" s="14" t="s">
        <v>146</v>
      </c>
      <c r="C214" s="14" t="s">
        <v>147</v>
      </c>
      <c r="D214" s="15" t="s">
        <v>30</v>
      </c>
      <c r="E214" s="15" t="s">
        <v>30</v>
      </c>
      <c r="F214" s="15" t="s">
        <v>30</v>
      </c>
      <c r="G214" s="15" t="s">
        <v>31</v>
      </c>
      <c r="H214" s="15" t="s">
        <v>31</v>
      </c>
      <c r="I214" s="15" t="s">
        <v>32</v>
      </c>
    </row>
    <row r="215" spans="1:9" x14ac:dyDescent="0.2">
      <c r="A215" s="14">
        <v>2023</v>
      </c>
      <c r="B215" s="14" t="s">
        <v>146</v>
      </c>
      <c r="C215" s="14" t="s">
        <v>147</v>
      </c>
      <c r="D215" s="15" t="s">
        <v>30</v>
      </c>
      <c r="E215" s="15" t="s">
        <v>30</v>
      </c>
      <c r="F215" s="15" t="s">
        <v>30</v>
      </c>
      <c r="G215" s="15" t="s">
        <v>32</v>
      </c>
      <c r="H215" s="15" t="s">
        <v>31</v>
      </c>
      <c r="I215" s="15" t="s">
        <v>32</v>
      </c>
    </row>
    <row r="216" spans="1:9" x14ac:dyDescent="0.2">
      <c r="A216" s="14">
        <v>2024</v>
      </c>
      <c r="B216" s="14" t="s">
        <v>146</v>
      </c>
      <c r="C216" s="14" t="s">
        <v>147</v>
      </c>
      <c r="D216" s="15" t="s">
        <v>30</v>
      </c>
      <c r="E216" s="15" t="s">
        <v>30</v>
      </c>
      <c r="F216" s="15" t="s">
        <v>30</v>
      </c>
      <c r="G216" s="15" t="s">
        <v>32</v>
      </c>
      <c r="H216" s="15" t="s">
        <v>31</v>
      </c>
      <c r="I216" s="15" t="s">
        <v>32</v>
      </c>
    </row>
    <row r="217" spans="1:9" x14ac:dyDescent="0.2">
      <c r="A217" s="14">
        <v>1990</v>
      </c>
      <c r="B217" s="14" t="s">
        <v>148</v>
      </c>
      <c r="C217" s="14" t="s">
        <v>149</v>
      </c>
      <c r="D217" s="15">
        <v>1500</v>
      </c>
      <c r="E217" s="15">
        <v>1000</v>
      </c>
      <c r="F217" s="15">
        <v>2200</v>
      </c>
      <c r="G217" s="15" t="s">
        <v>17</v>
      </c>
      <c r="H217" s="15" t="s">
        <v>22</v>
      </c>
      <c r="I217" s="15" t="s">
        <v>47</v>
      </c>
    </row>
    <row r="218" spans="1:9" x14ac:dyDescent="0.2">
      <c r="A218" s="14">
        <v>1991</v>
      </c>
      <c r="B218" s="14" t="s">
        <v>148</v>
      </c>
      <c r="C218" s="14" t="s">
        <v>149</v>
      </c>
      <c r="D218" s="15">
        <v>2000</v>
      </c>
      <c r="E218" s="15">
        <v>1400</v>
      </c>
      <c r="F218" s="15">
        <v>2800</v>
      </c>
      <c r="G218" s="15" t="s">
        <v>60</v>
      </c>
      <c r="H218" s="15" t="s">
        <v>15</v>
      </c>
      <c r="I218" s="15" t="s">
        <v>71</v>
      </c>
    </row>
    <row r="219" spans="1:9" x14ac:dyDescent="0.2">
      <c r="A219" s="14">
        <v>1992</v>
      </c>
      <c r="B219" s="14" t="s">
        <v>148</v>
      </c>
      <c r="C219" s="14" t="s">
        <v>149</v>
      </c>
      <c r="D219" s="15">
        <v>2600</v>
      </c>
      <c r="E219" s="15">
        <v>1900</v>
      </c>
      <c r="F219" s="15">
        <v>3800</v>
      </c>
      <c r="G219" s="15" t="s">
        <v>62</v>
      </c>
      <c r="H219" s="15" t="s">
        <v>15</v>
      </c>
      <c r="I219" s="15" t="s">
        <v>71</v>
      </c>
    </row>
    <row r="220" spans="1:9" x14ac:dyDescent="0.2">
      <c r="A220" s="14">
        <v>1993</v>
      </c>
      <c r="B220" s="14" t="s">
        <v>148</v>
      </c>
      <c r="C220" s="14" t="s">
        <v>149</v>
      </c>
      <c r="D220" s="15">
        <v>3300</v>
      </c>
      <c r="E220" s="15">
        <v>2400</v>
      </c>
      <c r="F220" s="15">
        <v>4700</v>
      </c>
      <c r="G220" s="15" t="s">
        <v>59</v>
      </c>
      <c r="H220" s="15" t="s">
        <v>15</v>
      </c>
      <c r="I220" s="15" t="s">
        <v>49</v>
      </c>
    </row>
    <row r="221" spans="1:9" x14ac:dyDescent="0.2">
      <c r="A221" s="14">
        <v>1994</v>
      </c>
      <c r="B221" s="14" t="s">
        <v>148</v>
      </c>
      <c r="C221" s="14" t="s">
        <v>149</v>
      </c>
      <c r="D221" s="15">
        <v>4100</v>
      </c>
      <c r="E221" s="15">
        <v>3100</v>
      </c>
      <c r="F221" s="15">
        <v>5800</v>
      </c>
      <c r="G221" s="15" t="s">
        <v>59</v>
      </c>
      <c r="H221" s="15" t="s">
        <v>23</v>
      </c>
      <c r="I221" s="15" t="s">
        <v>49</v>
      </c>
    </row>
    <row r="222" spans="1:9" x14ac:dyDescent="0.2">
      <c r="A222" s="14">
        <v>1995</v>
      </c>
      <c r="B222" s="14" t="s">
        <v>148</v>
      </c>
      <c r="C222" s="14" t="s">
        <v>149</v>
      </c>
      <c r="D222" s="15">
        <v>5000</v>
      </c>
      <c r="E222" s="15">
        <v>3700</v>
      </c>
      <c r="F222" s="15">
        <v>6900</v>
      </c>
      <c r="G222" s="15" t="s">
        <v>62</v>
      </c>
      <c r="H222" s="15" t="s">
        <v>23</v>
      </c>
      <c r="I222" s="15" t="s">
        <v>78</v>
      </c>
    </row>
    <row r="223" spans="1:9" x14ac:dyDescent="0.2">
      <c r="A223" s="14">
        <v>1996</v>
      </c>
      <c r="B223" s="14" t="s">
        <v>148</v>
      </c>
      <c r="C223" s="14" t="s">
        <v>149</v>
      </c>
      <c r="D223" s="15">
        <v>5800</v>
      </c>
      <c r="E223" s="15">
        <v>4300</v>
      </c>
      <c r="F223" s="15">
        <v>8000</v>
      </c>
      <c r="G223" s="15" t="s">
        <v>60</v>
      </c>
      <c r="H223" s="15" t="s">
        <v>15</v>
      </c>
      <c r="I223" s="15" t="s">
        <v>51</v>
      </c>
    </row>
    <row r="224" spans="1:9" x14ac:dyDescent="0.2">
      <c r="A224" s="14">
        <v>1997</v>
      </c>
      <c r="B224" s="14" t="s">
        <v>148</v>
      </c>
      <c r="C224" s="14" t="s">
        <v>149</v>
      </c>
      <c r="D224" s="15">
        <v>6700</v>
      </c>
      <c r="E224" s="15">
        <v>5100</v>
      </c>
      <c r="F224" s="15">
        <v>9200</v>
      </c>
      <c r="G224" s="15" t="s">
        <v>17</v>
      </c>
      <c r="H224" s="15" t="s">
        <v>24</v>
      </c>
      <c r="I224" s="15" t="s">
        <v>16</v>
      </c>
    </row>
    <row r="225" spans="1:9" x14ac:dyDescent="0.2">
      <c r="A225" s="14">
        <v>1998</v>
      </c>
      <c r="B225" s="14" t="s">
        <v>148</v>
      </c>
      <c r="C225" s="14" t="s">
        <v>149</v>
      </c>
      <c r="D225" s="15">
        <v>7500</v>
      </c>
      <c r="E225" s="15">
        <v>5900</v>
      </c>
      <c r="F225" s="15" t="s">
        <v>22</v>
      </c>
      <c r="G225" s="15" t="s">
        <v>23</v>
      </c>
      <c r="H225" s="15" t="s">
        <v>22</v>
      </c>
      <c r="I225" s="15" t="s">
        <v>59</v>
      </c>
    </row>
    <row r="226" spans="1:9" x14ac:dyDescent="0.2">
      <c r="A226" s="14">
        <v>1999</v>
      </c>
      <c r="B226" s="14" t="s">
        <v>148</v>
      </c>
      <c r="C226" s="14" t="s">
        <v>149</v>
      </c>
      <c r="D226" s="15">
        <v>8300</v>
      </c>
      <c r="E226" s="15">
        <v>6600</v>
      </c>
      <c r="F226" s="15" t="s">
        <v>24</v>
      </c>
      <c r="G226" s="15" t="s">
        <v>15</v>
      </c>
      <c r="H226" s="15">
        <v>9800</v>
      </c>
      <c r="I226" s="15" t="s">
        <v>62</v>
      </c>
    </row>
    <row r="227" spans="1:9" x14ac:dyDescent="0.2">
      <c r="A227" s="14">
        <v>2000</v>
      </c>
      <c r="B227" s="14" t="s">
        <v>148</v>
      </c>
      <c r="C227" s="14" t="s">
        <v>149</v>
      </c>
      <c r="D227" s="15">
        <v>9000</v>
      </c>
      <c r="E227" s="15">
        <v>7200</v>
      </c>
      <c r="F227" s="15" t="s">
        <v>15</v>
      </c>
      <c r="G227" s="15" t="s">
        <v>24</v>
      </c>
      <c r="H227" s="15">
        <v>9100</v>
      </c>
      <c r="I227" s="15" t="s">
        <v>17</v>
      </c>
    </row>
    <row r="228" spans="1:9" x14ac:dyDescent="0.2">
      <c r="A228" s="14">
        <v>2001</v>
      </c>
      <c r="B228" s="14" t="s">
        <v>148</v>
      </c>
      <c r="C228" s="14" t="s">
        <v>149</v>
      </c>
      <c r="D228" s="15">
        <v>9600</v>
      </c>
      <c r="E228" s="15">
        <v>7800</v>
      </c>
      <c r="F228" s="15" t="s">
        <v>23</v>
      </c>
      <c r="G228" s="15" t="s">
        <v>24</v>
      </c>
      <c r="H228" s="15">
        <v>8700</v>
      </c>
      <c r="I228" s="15" t="s">
        <v>17</v>
      </c>
    </row>
    <row r="229" spans="1:9" x14ac:dyDescent="0.2">
      <c r="A229" s="14">
        <v>2002</v>
      </c>
      <c r="B229" s="14" t="s">
        <v>148</v>
      </c>
      <c r="C229" s="14" t="s">
        <v>149</v>
      </c>
      <c r="D229" s="15">
        <v>10000</v>
      </c>
      <c r="E229" s="15">
        <v>8100</v>
      </c>
      <c r="F229" s="15" t="s">
        <v>23</v>
      </c>
      <c r="G229" s="15" t="s">
        <v>22</v>
      </c>
      <c r="H229" s="15">
        <v>8000</v>
      </c>
      <c r="I229" s="15" t="s">
        <v>23</v>
      </c>
    </row>
    <row r="230" spans="1:9" x14ac:dyDescent="0.2">
      <c r="A230" s="14">
        <v>2003</v>
      </c>
      <c r="B230" s="14" t="s">
        <v>148</v>
      </c>
      <c r="C230" s="14" t="s">
        <v>149</v>
      </c>
      <c r="D230" s="15" t="s">
        <v>22</v>
      </c>
      <c r="E230" s="15">
        <v>8400</v>
      </c>
      <c r="F230" s="15" t="s">
        <v>23</v>
      </c>
      <c r="G230" s="15">
        <v>9900</v>
      </c>
      <c r="H230" s="15">
        <v>7700</v>
      </c>
      <c r="I230" s="15" t="s">
        <v>23</v>
      </c>
    </row>
    <row r="231" spans="1:9" x14ac:dyDescent="0.2">
      <c r="A231" s="14">
        <v>2004</v>
      </c>
      <c r="B231" s="14" t="s">
        <v>148</v>
      </c>
      <c r="C231" s="14" t="s">
        <v>149</v>
      </c>
      <c r="D231" s="15" t="s">
        <v>24</v>
      </c>
      <c r="E231" s="15">
        <v>8600</v>
      </c>
      <c r="F231" s="15" t="s">
        <v>23</v>
      </c>
      <c r="G231" s="15">
        <v>9700</v>
      </c>
      <c r="H231" s="15">
        <v>7600</v>
      </c>
      <c r="I231" s="15" t="s">
        <v>15</v>
      </c>
    </row>
    <row r="232" spans="1:9" x14ac:dyDescent="0.2">
      <c r="A232" s="14">
        <v>2005</v>
      </c>
      <c r="B232" s="14" t="s">
        <v>148</v>
      </c>
      <c r="C232" s="14" t="s">
        <v>149</v>
      </c>
      <c r="D232" s="15" t="s">
        <v>22</v>
      </c>
      <c r="E232" s="15">
        <v>8600</v>
      </c>
      <c r="F232" s="15" t="s">
        <v>23</v>
      </c>
      <c r="G232" s="15">
        <v>9200</v>
      </c>
      <c r="H232" s="15">
        <v>7200</v>
      </c>
      <c r="I232" s="15" t="s">
        <v>15</v>
      </c>
    </row>
    <row r="233" spans="1:9" x14ac:dyDescent="0.2">
      <c r="A233" s="14">
        <v>2006</v>
      </c>
      <c r="B233" s="14" t="s">
        <v>148</v>
      </c>
      <c r="C233" s="14" t="s">
        <v>149</v>
      </c>
      <c r="D233" s="15" t="s">
        <v>22</v>
      </c>
      <c r="E233" s="15">
        <v>8300</v>
      </c>
      <c r="F233" s="15" t="s">
        <v>15</v>
      </c>
      <c r="G233" s="15">
        <v>8900</v>
      </c>
      <c r="H233" s="15">
        <v>6900</v>
      </c>
      <c r="I233" s="15" t="s">
        <v>24</v>
      </c>
    </row>
    <row r="234" spans="1:9" x14ac:dyDescent="0.2">
      <c r="A234" s="14">
        <v>2007</v>
      </c>
      <c r="B234" s="14" t="s">
        <v>148</v>
      </c>
      <c r="C234" s="14" t="s">
        <v>149</v>
      </c>
      <c r="D234" s="15">
        <v>9400</v>
      </c>
      <c r="E234" s="15">
        <v>7500</v>
      </c>
      <c r="F234" s="15" t="s">
        <v>24</v>
      </c>
      <c r="G234" s="15">
        <v>8700</v>
      </c>
      <c r="H234" s="15">
        <v>6800</v>
      </c>
      <c r="I234" s="15" t="s">
        <v>24</v>
      </c>
    </row>
    <row r="235" spans="1:9" x14ac:dyDescent="0.2">
      <c r="A235" s="14">
        <v>2008</v>
      </c>
      <c r="B235" s="14" t="s">
        <v>148</v>
      </c>
      <c r="C235" s="14" t="s">
        <v>149</v>
      </c>
      <c r="D235" s="15">
        <v>8100</v>
      </c>
      <c r="E235" s="15">
        <v>6400</v>
      </c>
      <c r="F235" s="15" t="s">
        <v>22</v>
      </c>
      <c r="G235" s="15">
        <v>8000</v>
      </c>
      <c r="H235" s="15">
        <v>6200</v>
      </c>
      <c r="I235" s="15" t="s">
        <v>22</v>
      </c>
    </row>
    <row r="236" spans="1:9" x14ac:dyDescent="0.2">
      <c r="A236" s="14">
        <v>2009</v>
      </c>
      <c r="B236" s="14" t="s">
        <v>148</v>
      </c>
      <c r="C236" s="14" t="s">
        <v>149</v>
      </c>
      <c r="D236" s="15">
        <v>7300</v>
      </c>
      <c r="E236" s="15">
        <v>5800</v>
      </c>
      <c r="F236" s="15">
        <v>9200</v>
      </c>
      <c r="G236" s="15">
        <v>8000</v>
      </c>
      <c r="H236" s="15">
        <v>6100</v>
      </c>
      <c r="I236" s="15" t="s">
        <v>22</v>
      </c>
    </row>
    <row r="237" spans="1:9" x14ac:dyDescent="0.2">
      <c r="A237" s="14">
        <v>2010</v>
      </c>
      <c r="B237" s="14" t="s">
        <v>148</v>
      </c>
      <c r="C237" s="14" t="s">
        <v>149</v>
      </c>
      <c r="D237" s="15">
        <v>7400</v>
      </c>
      <c r="E237" s="15">
        <v>5900</v>
      </c>
      <c r="F237" s="15">
        <v>9100</v>
      </c>
      <c r="G237" s="15">
        <v>7600</v>
      </c>
      <c r="H237" s="15">
        <v>5700</v>
      </c>
      <c r="I237" s="15">
        <v>9900</v>
      </c>
    </row>
    <row r="238" spans="1:9" x14ac:dyDescent="0.2">
      <c r="A238" s="14">
        <v>2011</v>
      </c>
      <c r="B238" s="14" t="s">
        <v>148</v>
      </c>
      <c r="C238" s="14" t="s">
        <v>149</v>
      </c>
      <c r="D238" s="15">
        <v>7700</v>
      </c>
      <c r="E238" s="15">
        <v>6100</v>
      </c>
      <c r="F238" s="15">
        <v>9300</v>
      </c>
      <c r="G238" s="15">
        <v>7400</v>
      </c>
      <c r="H238" s="15">
        <v>5500</v>
      </c>
      <c r="I238" s="15">
        <v>9800</v>
      </c>
    </row>
    <row r="239" spans="1:9" x14ac:dyDescent="0.2">
      <c r="A239" s="14">
        <v>2012</v>
      </c>
      <c r="B239" s="14" t="s">
        <v>148</v>
      </c>
      <c r="C239" s="14" t="s">
        <v>149</v>
      </c>
      <c r="D239" s="15">
        <v>7700</v>
      </c>
      <c r="E239" s="15">
        <v>6100</v>
      </c>
      <c r="F239" s="15">
        <v>9300</v>
      </c>
      <c r="G239" s="15">
        <v>7000</v>
      </c>
      <c r="H239" s="15">
        <v>5100</v>
      </c>
      <c r="I239" s="15">
        <v>9300</v>
      </c>
    </row>
    <row r="240" spans="1:9" x14ac:dyDescent="0.2">
      <c r="A240" s="14">
        <v>2013</v>
      </c>
      <c r="B240" s="14" t="s">
        <v>148</v>
      </c>
      <c r="C240" s="14" t="s">
        <v>149</v>
      </c>
      <c r="D240" s="15">
        <v>7300</v>
      </c>
      <c r="E240" s="15">
        <v>5900</v>
      </c>
      <c r="F240" s="15">
        <v>8800</v>
      </c>
      <c r="G240" s="15">
        <v>6800</v>
      </c>
      <c r="H240" s="15">
        <v>4800</v>
      </c>
      <c r="I240" s="15">
        <v>9200</v>
      </c>
    </row>
    <row r="241" spans="1:9" x14ac:dyDescent="0.2">
      <c r="A241" s="14">
        <v>2014</v>
      </c>
      <c r="B241" s="14" t="s">
        <v>148</v>
      </c>
      <c r="C241" s="14" t="s">
        <v>149</v>
      </c>
      <c r="D241" s="15">
        <v>6600</v>
      </c>
      <c r="E241" s="15">
        <v>5300</v>
      </c>
      <c r="F241" s="15">
        <v>8000</v>
      </c>
      <c r="G241" s="15">
        <v>6100</v>
      </c>
      <c r="H241" s="15">
        <v>4200</v>
      </c>
      <c r="I241" s="15">
        <v>8600</v>
      </c>
    </row>
    <row r="242" spans="1:9" x14ac:dyDescent="0.2">
      <c r="A242" s="14">
        <v>2015</v>
      </c>
      <c r="B242" s="14" t="s">
        <v>148</v>
      </c>
      <c r="C242" s="14" t="s">
        <v>149</v>
      </c>
      <c r="D242" s="15">
        <v>5400</v>
      </c>
      <c r="E242" s="15">
        <v>4200</v>
      </c>
      <c r="F242" s="15">
        <v>6700</v>
      </c>
      <c r="G242" s="15">
        <v>5900</v>
      </c>
      <c r="H242" s="15">
        <v>4000</v>
      </c>
      <c r="I242" s="15">
        <v>8500</v>
      </c>
    </row>
    <row r="243" spans="1:9" x14ac:dyDescent="0.2">
      <c r="A243" s="14">
        <v>2016</v>
      </c>
      <c r="B243" s="14" t="s">
        <v>148</v>
      </c>
      <c r="C243" s="14" t="s">
        <v>149</v>
      </c>
      <c r="D243" s="15">
        <v>4800</v>
      </c>
      <c r="E243" s="15">
        <v>3700</v>
      </c>
      <c r="F243" s="15">
        <v>6100</v>
      </c>
      <c r="G243" s="15">
        <v>5300</v>
      </c>
      <c r="H243" s="15">
        <v>3500</v>
      </c>
      <c r="I243" s="15">
        <v>7800</v>
      </c>
    </row>
    <row r="244" spans="1:9" x14ac:dyDescent="0.2">
      <c r="A244" s="14">
        <v>2017</v>
      </c>
      <c r="B244" s="14" t="s">
        <v>148</v>
      </c>
      <c r="C244" s="14" t="s">
        <v>149</v>
      </c>
      <c r="D244" s="15">
        <v>4400</v>
      </c>
      <c r="E244" s="15">
        <v>3400</v>
      </c>
      <c r="F244" s="15">
        <v>5700</v>
      </c>
      <c r="G244" s="15">
        <v>4800</v>
      </c>
      <c r="H244" s="15">
        <v>3000</v>
      </c>
      <c r="I244" s="15">
        <v>7300</v>
      </c>
    </row>
    <row r="245" spans="1:9" x14ac:dyDescent="0.2">
      <c r="A245" s="14">
        <v>2018</v>
      </c>
      <c r="B245" s="14" t="s">
        <v>148</v>
      </c>
      <c r="C245" s="14" t="s">
        <v>149</v>
      </c>
      <c r="D245" s="15">
        <v>4100</v>
      </c>
      <c r="E245" s="15">
        <v>3000</v>
      </c>
      <c r="F245" s="15">
        <v>5400</v>
      </c>
      <c r="G245" s="15">
        <v>4400</v>
      </c>
      <c r="H245" s="15">
        <v>2600</v>
      </c>
      <c r="I245" s="15">
        <v>6900</v>
      </c>
    </row>
    <row r="246" spans="1:9" x14ac:dyDescent="0.2">
      <c r="A246" s="14">
        <v>2019</v>
      </c>
      <c r="B246" s="14" t="s">
        <v>148</v>
      </c>
      <c r="C246" s="14" t="s">
        <v>149</v>
      </c>
      <c r="D246" s="15">
        <v>3600</v>
      </c>
      <c r="E246" s="15">
        <v>2600</v>
      </c>
      <c r="F246" s="15">
        <v>4900</v>
      </c>
      <c r="G246" s="15">
        <v>4100</v>
      </c>
      <c r="H246" s="15">
        <v>2300</v>
      </c>
      <c r="I246" s="15">
        <v>6700</v>
      </c>
    </row>
    <row r="247" spans="1:9" x14ac:dyDescent="0.2">
      <c r="A247" s="14">
        <v>2020</v>
      </c>
      <c r="B247" s="14" t="s">
        <v>148</v>
      </c>
      <c r="C247" s="14" t="s">
        <v>149</v>
      </c>
      <c r="D247" s="15">
        <v>3100</v>
      </c>
      <c r="E247" s="15">
        <v>2200</v>
      </c>
      <c r="F247" s="15">
        <v>4300</v>
      </c>
      <c r="G247" s="15">
        <v>3900</v>
      </c>
      <c r="H247" s="15">
        <v>2100</v>
      </c>
      <c r="I247" s="15">
        <v>6500</v>
      </c>
    </row>
    <row r="248" spans="1:9" x14ac:dyDescent="0.2">
      <c r="A248" s="14">
        <v>2021</v>
      </c>
      <c r="B248" s="14" t="s">
        <v>148</v>
      </c>
      <c r="C248" s="14" t="s">
        <v>149</v>
      </c>
      <c r="D248" s="15">
        <v>2800</v>
      </c>
      <c r="E248" s="15">
        <v>1900</v>
      </c>
      <c r="F248" s="15">
        <v>3900</v>
      </c>
      <c r="G248" s="15">
        <v>3800</v>
      </c>
      <c r="H248" s="15">
        <v>2100</v>
      </c>
      <c r="I248" s="15">
        <v>6300</v>
      </c>
    </row>
    <row r="249" spans="1:9" x14ac:dyDescent="0.2">
      <c r="A249" s="14">
        <v>2022</v>
      </c>
      <c r="B249" s="14" t="s">
        <v>148</v>
      </c>
      <c r="C249" s="14" t="s">
        <v>149</v>
      </c>
      <c r="D249" s="15">
        <v>2400</v>
      </c>
      <c r="E249" s="15">
        <v>1700</v>
      </c>
      <c r="F249" s="15">
        <v>3400</v>
      </c>
      <c r="G249" s="15">
        <v>3400</v>
      </c>
      <c r="H249" s="15">
        <v>1600</v>
      </c>
      <c r="I249" s="15">
        <v>6300</v>
      </c>
    </row>
    <row r="250" spans="1:9" x14ac:dyDescent="0.2">
      <c r="A250" s="14">
        <v>2023</v>
      </c>
      <c r="B250" s="14" t="s">
        <v>148</v>
      </c>
      <c r="C250" s="14" t="s">
        <v>149</v>
      </c>
      <c r="D250" s="15">
        <v>2100</v>
      </c>
      <c r="E250" s="15">
        <v>1500</v>
      </c>
      <c r="F250" s="15">
        <v>3200</v>
      </c>
      <c r="G250" s="15">
        <v>2800</v>
      </c>
      <c r="H250" s="15">
        <v>1200</v>
      </c>
      <c r="I250" s="15">
        <v>6000</v>
      </c>
    </row>
    <row r="251" spans="1:9" x14ac:dyDescent="0.2">
      <c r="A251" s="14">
        <v>2024</v>
      </c>
      <c r="B251" s="14" t="s">
        <v>148</v>
      </c>
      <c r="C251" s="14" t="s">
        <v>149</v>
      </c>
      <c r="D251" s="15">
        <v>2000</v>
      </c>
      <c r="E251" s="15">
        <v>1300</v>
      </c>
      <c r="F251" s="15">
        <v>3000</v>
      </c>
      <c r="G251" s="15">
        <v>2900</v>
      </c>
      <c r="H251" s="15">
        <v>1300</v>
      </c>
      <c r="I251" s="15">
        <v>6600</v>
      </c>
    </row>
    <row r="252" spans="1:9" x14ac:dyDescent="0.2">
      <c r="A252" s="14">
        <v>1990</v>
      </c>
      <c r="B252" s="14" t="s">
        <v>150</v>
      </c>
      <c r="C252" s="14" t="s">
        <v>151</v>
      </c>
      <c r="D252" s="15">
        <v>840</v>
      </c>
      <c r="E252" s="15" t="s">
        <v>32</v>
      </c>
      <c r="F252" s="15">
        <v>1800</v>
      </c>
      <c r="G252" s="15">
        <v>8400</v>
      </c>
      <c r="H252" s="15">
        <v>4900</v>
      </c>
      <c r="I252" s="15" t="s">
        <v>23</v>
      </c>
    </row>
    <row r="253" spans="1:9" x14ac:dyDescent="0.2">
      <c r="A253" s="14">
        <v>1991</v>
      </c>
      <c r="B253" s="14" t="s">
        <v>150</v>
      </c>
      <c r="C253" s="14" t="s">
        <v>151</v>
      </c>
      <c r="D253" s="15">
        <v>1100</v>
      </c>
      <c r="E253" s="15">
        <v>500</v>
      </c>
      <c r="F253" s="15">
        <v>2200</v>
      </c>
      <c r="G253" s="15" t="s">
        <v>22</v>
      </c>
      <c r="H253" s="15">
        <v>6400</v>
      </c>
      <c r="I253" s="15" t="s">
        <v>60</v>
      </c>
    </row>
    <row r="254" spans="1:9" x14ac:dyDescent="0.2">
      <c r="A254" s="14">
        <v>1992</v>
      </c>
      <c r="B254" s="14" t="s">
        <v>150</v>
      </c>
      <c r="C254" s="14" t="s">
        <v>151</v>
      </c>
      <c r="D254" s="15">
        <v>1500</v>
      </c>
      <c r="E254" s="15">
        <v>740</v>
      </c>
      <c r="F254" s="15">
        <v>2900</v>
      </c>
      <c r="G254" s="15" t="s">
        <v>24</v>
      </c>
      <c r="H254" s="15">
        <v>7200</v>
      </c>
      <c r="I254" s="15" t="s">
        <v>60</v>
      </c>
    </row>
    <row r="255" spans="1:9" x14ac:dyDescent="0.2">
      <c r="A255" s="14">
        <v>1993</v>
      </c>
      <c r="B255" s="14" t="s">
        <v>150</v>
      </c>
      <c r="C255" s="14" t="s">
        <v>151</v>
      </c>
      <c r="D255" s="15">
        <v>1900</v>
      </c>
      <c r="E255" s="15">
        <v>1000</v>
      </c>
      <c r="F255" s="15">
        <v>3500</v>
      </c>
      <c r="G255" s="15" t="s">
        <v>24</v>
      </c>
      <c r="H255" s="15">
        <v>7800</v>
      </c>
      <c r="I255" s="15" t="s">
        <v>60</v>
      </c>
    </row>
    <row r="256" spans="1:9" x14ac:dyDescent="0.2">
      <c r="A256" s="14">
        <v>1994</v>
      </c>
      <c r="B256" s="14" t="s">
        <v>150</v>
      </c>
      <c r="C256" s="14" t="s">
        <v>151</v>
      </c>
      <c r="D256" s="15">
        <v>2300</v>
      </c>
      <c r="E256" s="15">
        <v>1300</v>
      </c>
      <c r="F256" s="15">
        <v>4100</v>
      </c>
      <c r="G256" s="15" t="s">
        <v>24</v>
      </c>
      <c r="H256" s="15">
        <v>7900</v>
      </c>
      <c r="I256" s="15" t="s">
        <v>60</v>
      </c>
    </row>
    <row r="257" spans="1:9" x14ac:dyDescent="0.2">
      <c r="A257" s="14">
        <v>1995</v>
      </c>
      <c r="B257" s="14" t="s">
        <v>150</v>
      </c>
      <c r="C257" s="14" t="s">
        <v>151</v>
      </c>
      <c r="D257" s="15">
        <v>2800</v>
      </c>
      <c r="E257" s="15">
        <v>1600</v>
      </c>
      <c r="F257" s="15">
        <v>4800</v>
      </c>
      <c r="G257" s="15" t="s">
        <v>24</v>
      </c>
      <c r="H257" s="15">
        <v>8000</v>
      </c>
      <c r="I257" s="15" t="s">
        <v>17</v>
      </c>
    </row>
    <row r="258" spans="1:9" x14ac:dyDescent="0.2">
      <c r="A258" s="14">
        <v>1996</v>
      </c>
      <c r="B258" s="14" t="s">
        <v>150</v>
      </c>
      <c r="C258" s="14" t="s">
        <v>151</v>
      </c>
      <c r="D258" s="15">
        <v>3500</v>
      </c>
      <c r="E258" s="15">
        <v>2100</v>
      </c>
      <c r="F258" s="15">
        <v>5700</v>
      </c>
      <c r="G258" s="15">
        <v>9800</v>
      </c>
      <c r="H258" s="15">
        <v>7300</v>
      </c>
      <c r="I258" s="15" t="s">
        <v>23</v>
      </c>
    </row>
    <row r="259" spans="1:9" x14ac:dyDescent="0.2">
      <c r="A259" s="14">
        <v>1997</v>
      </c>
      <c r="B259" s="14" t="s">
        <v>150</v>
      </c>
      <c r="C259" s="14" t="s">
        <v>151</v>
      </c>
      <c r="D259" s="15">
        <v>4000</v>
      </c>
      <c r="E259" s="15">
        <v>2500</v>
      </c>
      <c r="F259" s="15">
        <v>6300</v>
      </c>
      <c r="G259" s="15" t="s">
        <v>22</v>
      </c>
      <c r="H259" s="15">
        <v>7800</v>
      </c>
      <c r="I259" s="15" t="s">
        <v>17</v>
      </c>
    </row>
    <row r="260" spans="1:9" x14ac:dyDescent="0.2">
      <c r="A260" s="14">
        <v>1998</v>
      </c>
      <c r="B260" s="14" t="s">
        <v>150</v>
      </c>
      <c r="C260" s="14" t="s">
        <v>151</v>
      </c>
      <c r="D260" s="15">
        <v>4600</v>
      </c>
      <c r="E260" s="15">
        <v>2900</v>
      </c>
      <c r="F260" s="15">
        <v>7000</v>
      </c>
      <c r="G260" s="15">
        <v>9800</v>
      </c>
      <c r="H260" s="15">
        <v>7400</v>
      </c>
      <c r="I260" s="15" t="s">
        <v>23</v>
      </c>
    </row>
    <row r="261" spans="1:9" x14ac:dyDescent="0.2">
      <c r="A261" s="14">
        <v>1999</v>
      </c>
      <c r="B261" s="14" t="s">
        <v>150</v>
      </c>
      <c r="C261" s="14" t="s">
        <v>151</v>
      </c>
      <c r="D261" s="15">
        <v>5100</v>
      </c>
      <c r="E261" s="15">
        <v>3300</v>
      </c>
      <c r="F261" s="15">
        <v>7600</v>
      </c>
      <c r="G261" s="15">
        <v>8600</v>
      </c>
      <c r="H261" s="15">
        <v>6500</v>
      </c>
      <c r="I261" s="15" t="s">
        <v>24</v>
      </c>
    </row>
    <row r="262" spans="1:9" x14ac:dyDescent="0.2">
      <c r="A262" s="14">
        <v>2000</v>
      </c>
      <c r="B262" s="14" t="s">
        <v>150</v>
      </c>
      <c r="C262" s="14" t="s">
        <v>151</v>
      </c>
      <c r="D262" s="15">
        <v>5700</v>
      </c>
      <c r="E262" s="15">
        <v>3800</v>
      </c>
      <c r="F262" s="15">
        <v>8100</v>
      </c>
      <c r="G262" s="15">
        <v>7800</v>
      </c>
      <c r="H262" s="15">
        <v>6000</v>
      </c>
      <c r="I262" s="15" t="s">
        <v>22</v>
      </c>
    </row>
    <row r="263" spans="1:9" x14ac:dyDescent="0.2">
      <c r="A263" s="14">
        <v>2001</v>
      </c>
      <c r="B263" s="14" t="s">
        <v>150</v>
      </c>
      <c r="C263" s="14" t="s">
        <v>151</v>
      </c>
      <c r="D263" s="15">
        <v>6100</v>
      </c>
      <c r="E263" s="15">
        <v>4200</v>
      </c>
      <c r="F263" s="15">
        <v>8500</v>
      </c>
      <c r="G263" s="15">
        <v>7900</v>
      </c>
      <c r="H263" s="15">
        <v>6200</v>
      </c>
      <c r="I263" s="15" t="s">
        <v>22</v>
      </c>
    </row>
    <row r="264" spans="1:9" x14ac:dyDescent="0.2">
      <c r="A264" s="14">
        <v>2002</v>
      </c>
      <c r="B264" s="14" t="s">
        <v>150</v>
      </c>
      <c r="C264" s="14" t="s">
        <v>151</v>
      </c>
      <c r="D264" s="15">
        <v>6500</v>
      </c>
      <c r="E264" s="15">
        <v>4700</v>
      </c>
      <c r="F264" s="15">
        <v>8800</v>
      </c>
      <c r="G264" s="15">
        <v>7600</v>
      </c>
      <c r="H264" s="15">
        <v>6000</v>
      </c>
      <c r="I264" s="15">
        <v>9900</v>
      </c>
    </row>
    <row r="265" spans="1:9" x14ac:dyDescent="0.2">
      <c r="A265" s="14">
        <v>2003</v>
      </c>
      <c r="B265" s="14" t="s">
        <v>150</v>
      </c>
      <c r="C265" s="14" t="s">
        <v>151</v>
      </c>
      <c r="D265" s="15">
        <v>6900</v>
      </c>
      <c r="E265" s="15">
        <v>5000</v>
      </c>
      <c r="F265" s="15">
        <v>9200</v>
      </c>
      <c r="G265" s="15">
        <v>7300</v>
      </c>
      <c r="H265" s="15">
        <v>5700</v>
      </c>
      <c r="I265" s="15">
        <v>9400</v>
      </c>
    </row>
    <row r="266" spans="1:9" x14ac:dyDescent="0.2">
      <c r="A266" s="14">
        <v>2004</v>
      </c>
      <c r="B266" s="14" t="s">
        <v>150</v>
      </c>
      <c r="C266" s="14" t="s">
        <v>151</v>
      </c>
      <c r="D266" s="15">
        <v>7200</v>
      </c>
      <c r="E266" s="15">
        <v>5400</v>
      </c>
      <c r="F266" s="15">
        <v>9600</v>
      </c>
      <c r="G266" s="15">
        <v>6600</v>
      </c>
      <c r="H266" s="15">
        <v>5200</v>
      </c>
      <c r="I266" s="15">
        <v>8600</v>
      </c>
    </row>
    <row r="267" spans="1:9" x14ac:dyDescent="0.2">
      <c r="A267" s="14">
        <v>2005</v>
      </c>
      <c r="B267" s="14" t="s">
        <v>150</v>
      </c>
      <c r="C267" s="14" t="s">
        <v>151</v>
      </c>
      <c r="D267" s="15">
        <v>7400</v>
      </c>
      <c r="E267" s="15">
        <v>5500</v>
      </c>
      <c r="F267" s="15">
        <v>9800</v>
      </c>
      <c r="G267" s="15">
        <v>6600</v>
      </c>
      <c r="H267" s="15">
        <v>5100</v>
      </c>
      <c r="I267" s="15">
        <v>8500</v>
      </c>
    </row>
    <row r="268" spans="1:9" x14ac:dyDescent="0.2">
      <c r="A268" s="14">
        <v>2006</v>
      </c>
      <c r="B268" s="14" t="s">
        <v>150</v>
      </c>
      <c r="C268" s="14" t="s">
        <v>151</v>
      </c>
      <c r="D268" s="15">
        <v>6900</v>
      </c>
      <c r="E268" s="15">
        <v>5100</v>
      </c>
      <c r="F268" s="15">
        <v>9200</v>
      </c>
      <c r="G268" s="15">
        <v>6400</v>
      </c>
      <c r="H268" s="15">
        <v>4900</v>
      </c>
      <c r="I268" s="15">
        <v>8300</v>
      </c>
    </row>
    <row r="269" spans="1:9" x14ac:dyDescent="0.2">
      <c r="A269" s="14">
        <v>2007</v>
      </c>
      <c r="B269" s="14" t="s">
        <v>150</v>
      </c>
      <c r="C269" s="14" t="s">
        <v>151</v>
      </c>
      <c r="D269" s="15">
        <v>6100</v>
      </c>
      <c r="E269" s="15">
        <v>4500</v>
      </c>
      <c r="F269" s="15">
        <v>8300</v>
      </c>
      <c r="G269" s="15">
        <v>6300</v>
      </c>
      <c r="H269" s="15">
        <v>4800</v>
      </c>
      <c r="I269" s="15">
        <v>8400</v>
      </c>
    </row>
    <row r="270" spans="1:9" x14ac:dyDescent="0.2">
      <c r="A270" s="14">
        <v>2008</v>
      </c>
      <c r="B270" s="14" t="s">
        <v>150</v>
      </c>
      <c r="C270" s="14" t="s">
        <v>151</v>
      </c>
      <c r="D270" s="15">
        <v>5500</v>
      </c>
      <c r="E270" s="15">
        <v>3900</v>
      </c>
      <c r="F270" s="15">
        <v>7700</v>
      </c>
      <c r="G270" s="15">
        <v>5900</v>
      </c>
      <c r="H270" s="15">
        <v>4500</v>
      </c>
      <c r="I270" s="15">
        <v>7900</v>
      </c>
    </row>
    <row r="271" spans="1:9" x14ac:dyDescent="0.2">
      <c r="A271" s="14">
        <v>2009</v>
      </c>
      <c r="B271" s="14" t="s">
        <v>150</v>
      </c>
      <c r="C271" s="14" t="s">
        <v>151</v>
      </c>
      <c r="D271" s="15">
        <v>5100</v>
      </c>
      <c r="E271" s="15">
        <v>3600</v>
      </c>
      <c r="F271" s="15">
        <v>7100</v>
      </c>
      <c r="G271" s="15">
        <v>5400</v>
      </c>
      <c r="H271" s="15">
        <v>4000</v>
      </c>
      <c r="I271" s="15">
        <v>7400</v>
      </c>
    </row>
    <row r="272" spans="1:9" x14ac:dyDescent="0.2">
      <c r="A272" s="14">
        <v>2010</v>
      </c>
      <c r="B272" s="14" t="s">
        <v>150</v>
      </c>
      <c r="C272" s="14" t="s">
        <v>151</v>
      </c>
      <c r="D272" s="15">
        <v>4900</v>
      </c>
      <c r="E272" s="15">
        <v>3300</v>
      </c>
      <c r="F272" s="15">
        <v>6800</v>
      </c>
      <c r="G272" s="15">
        <v>5500</v>
      </c>
      <c r="H272" s="15">
        <v>4000</v>
      </c>
      <c r="I272" s="15">
        <v>7700</v>
      </c>
    </row>
    <row r="273" spans="1:9" x14ac:dyDescent="0.2">
      <c r="A273" s="14">
        <v>2011</v>
      </c>
      <c r="B273" s="14" t="s">
        <v>150</v>
      </c>
      <c r="C273" s="14" t="s">
        <v>151</v>
      </c>
      <c r="D273" s="15">
        <v>4800</v>
      </c>
      <c r="E273" s="15">
        <v>3300</v>
      </c>
      <c r="F273" s="15">
        <v>6700</v>
      </c>
      <c r="G273" s="15">
        <v>5200</v>
      </c>
      <c r="H273" s="15">
        <v>3800</v>
      </c>
      <c r="I273" s="15">
        <v>7300</v>
      </c>
    </row>
    <row r="274" spans="1:9" x14ac:dyDescent="0.2">
      <c r="A274" s="14">
        <v>2012</v>
      </c>
      <c r="B274" s="14" t="s">
        <v>150</v>
      </c>
      <c r="C274" s="14" t="s">
        <v>151</v>
      </c>
      <c r="D274" s="15">
        <v>4800</v>
      </c>
      <c r="E274" s="15">
        <v>3200</v>
      </c>
      <c r="F274" s="15">
        <v>6600</v>
      </c>
      <c r="G274" s="15">
        <v>5000</v>
      </c>
      <c r="H274" s="15">
        <v>3600</v>
      </c>
      <c r="I274" s="15">
        <v>7100</v>
      </c>
    </row>
    <row r="275" spans="1:9" x14ac:dyDescent="0.2">
      <c r="A275" s="14">
        <v>2013</v>
      </c>
      <c r="B275" s="14" t="s">
        <v>150</v>
      </c>
      <c r="C275" s="14" t="s">
        <v>151</v>
      </c>
      <c r="D275" s="15">
        <v>4700</v>
      </c>
      <c r="E275" s="15">
        <v>3100</v>
      </c>
      <c r="F275" s="15">
        <v>6500</v>
      </c>
      <c r="G275" s="15">
        <v>4900</v>
      </c>
      <c r="H275" s="15">
        <v>3500</v>
      </c>
      <c r="I275" s="15">
        <v>6800</v>
      </c>
    </row>
    <row r="276" spans="1:9" x14ac:dyDescent="0.2">
      <c r="A276" s="14">
        <v>2014</v>
      </c>
      <c r="B276" s="14" t="s">
        <v>150</v>
      </c>
      <c r="C276" s="14" t="s">
        <v>151</v>
      </c>
      <c r="D276" s="15">
        <v>4700</v>
      </c>
      <c r="E276" s="15">
        <v>3200</v>
      </c>
      <c r="F276" s="15">
        <v>6400</v>
      </c>
      <c r="G276" s="15">
        <v>4500</v>
      </c>
      <c r="H276" s="15">
        <v>3200</v>
      </c>
      <c r="I276" s="15">
        <v>6300</v>
      </c>
    </row>
    <row r="277" spans="1:9" x14ac:dyDescent="0.2">
      <c r="A277" s="14">
        <v>2015</v>
      </c>
      <c r="B277" s="14" t="s">
        <v>150</v>
      </c>
      <c r="C277" s="14" t="s">
        <v>151</v>
      </c>
      <c r="D277" s="15">
        <v>4600</v>
      </c>
      <c r="E277" s="15">
        <v>3200</v>
      </c>
      <c r="F277" s="15">
        <v>6300</v>
      </c>
      <c r="G277" s="15">
        <v>4500</v>
      </c>
      <c r="H277" s="15">
        <v>3100</v>
      </c>
      <c r="I277" s="15">
        <v>6200</v>
      </c>
    </row>
    <row r="278" spans="1:9" x14ac:dyDescent="0.2">
      <c r="A278" s="14">
        <v>2016</v>
      </c>
      <c r="B278" s="14" t="s">
        <v>150</v>
      </c>
      <c r="C278" s="14" t="s">
        <v>151</v>
      </c>
      <c r="D278" s="15">
        <v>4400</v>
      </c>
      <c r="E278" s="15">
        <v>3000</v>
      </c>
      <c r="F278" s="15">
        <v>6000</v>
      </c>
      <c r="G278" s="15">
        <v>4300</v>
      </c>
      <c r="H278" s="15">
        <v>2900</v>
      </c>
      <c r="I278" s="15">
        <v>5900</v>
      </c>
    </row>
    <row r="279" spans="1:9" x14ac:dyDescent="0.2">
      <c r="A279" s="14">
        <v>2017</v>
      </c>
      <c r="B279" s="14" t="s">
        <v>150</v>
      </c>
      <c r="C279" s="14" t="s">
        <v>151</v>
      </c>
      <c r="D279" s="15">
        <v>4200</v>
      </c>
      <c r="E279" s="15">
        <v>2900</v>
      </c>
      <c r="F279" s="15">
        <v>5900</v>
      </c>
      <c r="G279" s="15">
        <v>3800</v>
      </c>
      <c r="H279" s="15">
        <v>2500</v>
      </c>
      <c r="I279" s="15">
        <v>5300</v>
      </c>
    </row>
    <row r="280" spans="1:9" x14ac:dyDescent="0.2">
      <c r="A280" s="14">
        <v>2018</v>
      </c>
      <c r="B280" s="14" t="s">
        <v>150</v>
      </c>
      <c r="C280" s="14" t="s">
        <v>151</v>
      </c>
      <c r="D280" s="15">
        <v>4000</v>
      </c>
      <c r="E280" s="15">
        <v>2800</v>
      </c>
      <c r="F280" s="15">
        <v>5700</v>
      </c>
      <c r="G280" s="15">
        <v>3700</v>
      </c>
      <c r="H280" s="15">
        <v>2400</v>
      </c>
      <c r="I280" s="15">
        <v>5400</v>
      </c>
    </row>
    <row r="281" spans="1:9" x14ac:dyDescent="0.2">
      <c r="A281" s="14">
        <v>2019</v>
      </c>
      <c r="B281" s="14" t="s">
        <v>150</v>
      </c>
      <c r="C281" s="14" t="s">
        <v>151</v>
      </c>
      <c r="D281" s="15">
        <v>3900</v>
      </c>
      <c r="E281" s="15">
        <v>2700</v>
      </c>
      <c r="F281" s="15">
        <v>5600</v>
      </c>
      <c r="G281" s="15">
        <v>3700</v>
      </c>
      <c r="H281" s="15">
        <v>2400</v>
      </c>
      <c r="I281" s="15">
        <v>5500</v>
      </c>
    </row>
    <row r="282" spans="1:9" x14ac:dyDescent="0.2">
      <c r="A282" s="14">
        <v>2020</v>
      </c>
      <c r="B282" s="14" t="s">
        <v>150</v>
      </c>
      <c r="C282" s="14" t="s">
        <v>151</v>
      </c>
      <c r="D282" s="15">
        <v>3700</v>
      </c>
      <c r="E282" s="15">
        <v>2500</v>
      </c>
      <c r="F282" s="15">
        <v>5300</v>
      </c>
      <c r="G282" s="15">
        <v>3300</v>
      </c>
      <c r="H282" s="15">
        <v>2100</v>
      </c>
      <c r="I282" s="15">
        <v>5100</v>
      </c>
    </row>
    <row r="283" spans="1:9" x14ac:dyDescent="0.2">
      <c r="A283" s="14">
        <v>2021</v>
      </c>
      <c r="B283" s="14" t="s">
        <v>150</v>
      </c>
      <c r="C283" s="14" t="s">
        <v>151</v>
      </c>
      <c r="D283" s="15">
        <v>3300</v>
      </c>
      <c r="E283" s="15">
        <v>2300</v>
      </c>
      <c r="F283" s="15">
        <v>4700</v>
      </c>
      <c r="G283" s="15">
        <v>3100</v>
      </c>
      <c r="H283" s="15">
        <v>1800</v>
      </c>
      <c r="I283" s="15">
        <v>4800</v>
      </c>
    </row>
    <row r="284" spans="1:9" x14ac:dyDescent="0.2">
      <c r="A284" s="14">
        <v>2022</v>
      </c>
      <c r="B284" s="14" t="s">
        <v>150</v>
      </c>
      <c r="C284" s="14" t="s">
        <v>151</v>
      </c>
      <c r="D284" s="15">
        <v>3100</v>
      </c>
      <c r="E284" s="15">
        <v>2100</v>
      </c>
      <c r="F284" s="15">
        <v>4600</v>
      </c>
      <c r="G284" s="15">
        <v>3000</v>
      </c>
      <c r="H284" s="15">
        <v>1700</v>
      </c>
      <c r="I284" s="15">
        <v>4700</v>
      </c>
    </row>
    <row r="285" spans="1:9" x14ac:dyDescent="0.2">
      <c r="A285" s="14">
        <v>2023</v>
      </c>
      <c r="B285" s="14" t="s">
        <v>150</v>
      </c>
      <c r="C285" s="14" t="s">
        <v>151</v>
      </c>
      <c r="D285" s="15">
        <v>2800</v>
      </c>
      <c r="E285" s="15">
        <v>2000</v>
      </c>
      <c r="F285" s="15">
        <v>4300</v>
      </c>
      <c r="G285" s="15">
        <v>2900</v>
      </c>
      <c r="H285" s="15">
        <v>1600</v>
      </c>
      <c r="I285" s="15">
        <v>4800</v>
      </c>
    </row>
    <row r="286" spans="1:9" x14ac:dyDescent="0.2">
      <c r="A286" s="14">
        <v>2024</v>
      </c>
      <c r="B286" s="14" t="s">
        <v>150</v>
      </c>
      <c r="C286" s="14" t="s">
        <v>151</v>
      </c>
      <c r="D286" s="15">
        <v>2600</v>
      </c>
      <c r="E286" s="15">
        <v>1800</v>
      </c>
      <c r="F286" s="15">
        <v>4000</v>
      </c>
      <c r="G286" s="15">
        <v>3000</v>
      </c>
      <c r="H286" s="15">
        <v>1800</v>
      </c>
      <c r="I286" s="15">
        <v>4900</v>
      </c>
    </row>
    <row r="287" spans="1:9" x14ac:dyDescent="0.2">
      <c r="A287" s="14">
        <v>1990</v>
      </c>
      <c r="B287" s="14" t="s">
        <v>152</v>
      </c>
      <c r="C287" s="14" t="s">
        <v>153</v>
      </c>
      <c r="D287" s="15">
        <v>2100</v>
      </c>
      <c r="E287" s="15">
        <v>1400</v>
      </c>
      <c r="F287" s="15">
        <v>3100</v>
      </c>
      <c r="G287" s="15">
        <v>8900</v>
      </c>
      <c r="H287" s="15">
        <v>6900</v>
      </c>
      <c r="I287" s="15" t="s">
        <v>15</v>
      </c>
    </row>
    <row r="288" spans="1:9" x14ac:dyDescent="0.2">
      <c r="A288" s="14">
        <v>1991</v>
      </c>
      <c r="B288" s="14" t="s">
        <v>152</v>
      </c>
      <c r="C288" s="14" t="s">
        <v>153</v>
      </c>
      <c r="D288" s="15">
        <v>2600</v>
      </c>
      <c r="E288" s="15">
        <v>1800</v>
      </c>
      <c r="F288" s="15">
        <v>3600</v>
      </c>
      <c r="G288" s="15">
        <v>8200</v>
      </c>
      <c r="H288" s="15">
        <v>6500</v>
      </c>
      <c r="I288" s="15" t="s">
        <v>24</v>
      </c>
    </row>
    <row r="289" spans="1:9" x14ac:dyDescent="0.2">
      <c r="A289" s="14">
        <v>1992</v>
      </c>
      <c r="B289" s="14" t="s">
        <v>152</v>
      </c>
      <c r="C289" s="14" t="s">
        <v>153</v>
      </c>
      <c r="D289" s="15">
        <v>3100</v>
      </c>
      <c r="E289" s="15">
        <v>2200</v>
      </c>
      <c r="F289" s="15">
        <v>4300</v>
      </c>
      <c r="G289" s="15">
        <v>6900</v>
      </c>
      <c r="H289" s="15">
        <v>5800</v>
      </c>
      <c r="I289" s="15">
        <v>9400</v>
      </c>
    </row>
    <row r="290" spans="1:9" x14ac:dyDescent="0.2">
      <c r="A290" s="14">
        <v>1993</v>
      </c>
      <c r="B290" s="14" t="s">
        <v>152</v>
      </c>
      <c r="C290" s="14" t="s">
        <v>153</v>
      </c>
      <c r="D290" s="15">
        <v>3500</v>
      </c>
      <c r="E290" s="15">
        <v>2700</v>
      </c>
      <c r="F290" s="15">
        <v>4800</v>
      </c>
      <c r="G290" s="15">
        <v>6500</v>
      </c>
      <c r="H290" s="15">
        <v>5500</v>
      </c>
      <c r="I290" s="15">
        <v>8500</v>
      </c>
    </row>
    <row r="291" spans="1:9" x14ac:dyDescent="0.2">
      <c r="A291" s="14">
        <v>1994</v>
      </c>
      <c r="B291" s="14" t="s">
        <v>152</v>
      </c>
      <c r="C291" s="14" t="s">
        <v>153</v>
      </c>
      <c r="D291" s="15">
        <v>4000</v>
      </c>
      <c r="E291" s="15">
        <v>3100</v>
      </c>
      <c r="F291" s="15">
        <v>5400</v>
      </c>
      <c r="G291" s="15">
        <v>6300</v>
      </c>
      <c r="H291" s="15">
        <v>5300</v>
      </c>
      <c r="I291" s="15">
        <v>7800</v>
      </c>
    </row>
    <row r="292" spans="1:9" x14ac:dyDescent="0.2">
      <c r="A292" s="14">
        <v>1995</v>
      </c>
      <c r="B292" s="14" t="s">
        <v>152</v>
      </c>
      <c r="C292" s="14" t="s">
        <v>153</v>
      </c>
      <c r="D292" s="15">
        <v>4500</v>
      </c>
      <c r="E292" s="15">
        <v>3500</v>
      </c>
      <c r="F292" s="15">
        <v>5800</v>
      </c>
      <c r="G292" s="15">
        <v>6100</v>
      </c>
      <c r="H292" s="15">
        <v>5200</v>
      </c>
      <c r="I292" s="15">
        <v>7500</v>
      </c>
    </row>
    <row r="293" spans="1:9" x14ac:dyDescent="0.2">
      <c r="A293" s="14">
        <v>1996</v>
      </c>
      <c r="B293" s="14" t="s">
        <v>152</v>
      </c>
      <c r="C293" s="14" t="s">
        <v>153</v>
      </c>
      <c r="D293" s="15">
        <v>4800</v>
      </c>
      <c r="E293" s="15">
        <v>3900</v>
      </c>
      <c r="F293" s="15">
        <v>6100</v>
      </c>
      <c r="G293" s="15">
        <v>6000</v>
      </c>
      <c r="H293" s="15">
        <v>5200</v>
      </c>
      <c r="I293" s="15">
        <v>7300</v>
      </c>
    </row>
    <row r="294" spans="1:9" x14ac:dyDescent="0.2">
      <c r="A294" s="14">
        <v>1997</v>
      </c>
      <c r="B294" s="14" t="s">
        <v>152</v>
      </c>
      <c r="C294" s="14" t="s">
        <v>153</v>
      </c>
      <c r="D294" s="15">
        <v>5200</v>
      </c>
      <c r="E294" s="15">
        <v>4200</v>
      </c>
      <c r="F294" s="15">
        <v>6400</v>
      </c>
      <c r="G294" s="15">
        <v>5600</v>
      </c>
      <c r="H294" s="15">
        <v>4900</v>
      </c>
      <c r="I294" s="15">
        <v>6800</v>
      </c>
    </row>
    <row r="295" spans="1:9" x14ac:dyDescent="0.2">
      <c r="A295" s="14">
        <v>1998</v>
      </c>
      <c r="B295" s="14" t="s">
        <v>152</v>
      </c>
      <c r="C295" s="14" t="s">
        <v>153</v>
      </c>
      <c r="D295" s="15">
        <v>5400</v>
      </c>
      <c r="E295" s="15">
        <v>4400</v>
      </c>
      <c r="F295" s="15">
        <v>6500</v>
      </c>
      <c r="G295" s="15">
        <v>5900</v>
      </c>
      <c r="H295" s="15">
        <v>5100</v>
      </c>
      <c r="I295" s="15">
        <v>7000</v>
      </c>
    </row>
    <row r="296" spans="1:9" x14ac:dyDescent="0.2">
      <c r="A296" s="14">
        <v>1999</v>
      </c>
      <c r="B296" s="14" t="s">
        <v>152</v>
      </c>
      <c r="C296" s="14" t="s">
        <v>153</v>
      </c>
      <c r="D296" s="15">
        <v>5600</v>
      </c>
      <c r="E296" s="15">
        <v>4700</v>
      </c>
      <c r="F296" s="15">
        <v>6700</v>
      </c>
      <c r="G296" s="15">
        <v>5200</v>
      </c>
      <c r="H296" s="15">
        <v>4500</v>
      </c>
      <c r="I296" s="15">
        <v>6200</v>
      </c>
    </row>
    <row r="297" spans="1:9" x14ac:dyDescent="0.2">
      <c r="A297" s="14">
        <v>2000</v>
      </c>
      <c r="B297" s="14" t="s">
        <v>152</v>
      </c>
      <c r="C297" s="14" t="s">
        <v>153</v>
      </c>
      <c r="D297" s="15">
        <v>5800</v>
      </c>
      <c r="E297" s="15">
        <v>4900</v>
      </c>
      <c r="F297" s="15">
        <v>6900</v>
      </c>
      <c r="G297" s="15">
        <v>5400</v>
      </c>
      <c r="H297" s="15">
        <v>4600</v>
      </c>
      <c r="I297" s="15">
        <v>6200</v>
      </c>
    </row>
    <row r="298" spans="1:9" x14ac:dyDescent="0.2">
      <c r="A298" s="14">
        <v>2001</v>
      </c>
      <c r="B298" s="14" t="s">
        <v>152</v>
      </c>
      <c r="C298" s="14" t="s">
        <v>153</v>
      </c>
      <c r="D298" s="15">
        <v>6200</v>
      </c>
      <c r="E298" s="15">
        <v>5200</v>
      </c>
      <c r="F298" s="15">
        <v>7300</v>
      </c>
      <c r="G298" s="15">
        <v>5200</v>
      </c>
      <c r="H298" s="15">
        <v>4400</v>
      </c>
      <c r="I298" s="15">
        <v>6200</v>
      </c>
    </row>
    <row r="299" spans="1:9" x14ac:dyDescent="0.2">
      <c r="A299" s="14">
        <v>2002</v>
      </c>
      <c r="B299" s="14" t="s">
        <v>152</v>
      </c>
      <c r="C299" s="14" t="s">
        <v>153</v>
      </c>
      <c r="D299" s="15">
        <v>6200</v>
      </c>
      <c r="E299" s="15">
        <v>5300</v>
      </c>
      <c r="F299" s="15">
        <v>7300</v>
      </c>
      <c r="G299" s="15">
        <v>5500</v>
      </c>
      <c r="H299" s="15">
        <v>4700</v>
      </c>
      <c r="I299" s="15">
        <v>6400</v>
      </c>
    </row>
    <row r="300" spans="1:9" x14ac:dyDescent="0.2">
      <c r="A300" s="14">
        <v>2003</v>
      </c>
      <c r="B300" s="14" t="s">
        <v>152</v>
      </c>
      <c r="C300" s="14" t="s">
        <v>153</v>
      </c>
      <c r="D300" s="15">
        <v>6200</v>
      </c>
      <c r="E300" s="15">
        <v>5300</v>
      </c>
      <c r="F300" s="15">
        <v>7300</v>
      </c>
      <c r="G300" s="15">
        <v>5600</v>
      </c>
      <c r="H300" s="15">
        <v>4700</v>
      </c>
      <c r="I300" s="15">
        <v>6600</v>
      </c>
    </row>
    <row r="301" spans="1:9" x14ac:dyDescent="0.2">
      <c r="A301" s="14">
        <v>2004</v>
      </c>
      <c r="B301" s="14" t="s">
        <v>152</v>
      </c>
      <c r="C301" s="14" t="s">
        <v>153</v>
      </c>
      <c r="D301" s="15">
        <v>6300</v>
      </c>
      <c r="E301" s="15">
        <v>5500</v>
      </c>
      <c r="F301" s="15">
        <v>7300</v>
      </c>
      <c r="G301" s="15">
        <v>5300</v>
      </c>
      <c r="H301" s="15">
        <v>4400</v>
      </c>
      <c r="I301" s="15">
        <v>6300</v>
      </c>
    </row>
    <row r="302" spans="1:9" x14ac:dyDescent="0.2">
      <c r="A302" s="14">
        <v>2005</v>
      </c>
      <c r="B302" s="14" t="s">
        <v>152</v>
      </c>
      <c r="C302" s="14" t="s">
        <v>153</v>
      </c>
      <c r="D302" s="15">
        <v>6000</v>
      </c>
      <c r="E302" s="15">
        <v>5200</v>
      </c>
      <c r="F302" s="15">
        <v>7000</v>
      </c>
      <c r="G302" s="15">
        <v>5400</v>
      </c>
      <c r="H302" s="15">
        <v>4500</v>
      </c>
      <c r="I302" s="15">
        <v>6500</v>
      </c>
    </row>
    <row r="303" spans="1:9" x14ac:dyDescent="0.2">
      <c r="A303" s="14">
        <v>2006</v>
      </c>
      <c r="B303" s="14" t="s">
        <v>152</v>
      </c>
      <c r="C303" s="14" t="s">
        <v>153</v>
      </c>
      <c r="D303" s="15">
        <v>5600</v>
      </c>
      <c r="E303" s="15">
        <v>4900</v>
      </c>
      <c r="F303" s="15">
        <v>6600</v>
      </c>
      <c r="G303" s="15">
        <v>5400</v>
      </c>
      <c r="H303" s="15">
        <v>4400</v>
      </c>
      <c r="I303" s="15">
        <v>6500</v>
      </c>
    </row>
    <row r="304" spans="1:9" x14ac:dyDescent="0.2">
      <c r="A304" s="14">
        <v>2007</v>
      </c>
      <c r="B304" s="14" t="s">
        <v>152</v>
      </c>
      <c r="C304" s="14" t="s">
        <v>153</v>
      </c>
      <c r="D304" s="15">
        <v>5600</v>
      </c>
      <c r="E304" s="15">
        <v>4900</v>
      </c>
      <c r="F304" s="15">
        <v>6600</v>
      </c>
      <c r="G304" s="15">
        <v>5300</v>
      </c>
      <c r="H304" s="15">
        <v>4300</v>
      </c>
      <c r="I304" s="15">
        <v>6500</v>
      </c>
    </row>
    <row r="305" spans="1:9" x14ac:dyDescent="0.2">
      <c r="A305" s="14">
        <v>2008</v>
      </c>
      <c r="B305" s="14" t="s">
        <v>152</v>
      </c>
      <c r="C305" s="14" t="s">
        <v>153</v>
      </c>
      <c r="D305" s="15">
        <v>4900</v>
      </c>
      <c r="E305" s="15">
        <v>4100</v>
      </c>
      <c r="F305" s="15">
        <v>5800</v>
      </c>
      <c r="G305" s="15">
        <v>5400</v>
      </c>
      <c r="H305" s="15">
        <v>4200</v>
      </c>
      <c r="I305" s="15">
        <v>6700</v>
      </c>
    </row>
    <row r="306" spans="1:9" x14ac:dyDescent="0.2">
      <c r="A306" s="14">
        <v>2009</v>
      </c>
      <c r="B306" s="14" t="s">
        <v>152</v>
      </c>
      <c r="C306" s="14" t="s">
        <v>153</v>
      </c>
      <c r="D306" s="15">
        <v>4200</v>
      </c>
      <c r="E306" s="15">
        <v>3400</v>
      </c>
      <c r="F306" s="15">
        <v>5100</v>
      </c>
      <c r="G306" s="15">
        <v>5300</v>
      </c>
      <c r="H306" s="15">
        <v>4000</v>
      </c>
      <c r="I306" s="15">
        <v>6700</v>
      </c>
    </row>
    <row r="307" spans="1:9" x14ac:dyDescent="0.2">
      <c r="A307" s="14">
        <v>2010</v>
      </c>
      <c r="B307" s="14" t="s">
        <v>152</v>
      </c>
      <c r="C307" s="14" t="s">
        <v>153</v>
      </c>
      <c r="D307" s="15">
        <v>4300</v>
      </c>
      <c r="E307" s="15">
        <v>3500</v>
      </c>
      <c r="F307" s="15">
        <v>5100</v>
      </c>
      <c r="G307" s="15">
        <v>5600</v>
      </c>
      <c r="H307" s="15">
        <v>4200</v>
      </c>
      <c r="I307" s="15">
        <v>7100</v>
      </c>
    </row>
    <row r="308" spans="1:9" x14ac:dyDescent="0.2">
      <c r="A308" s="14">
        <v>2011</v>
      </c>
      <c r="B308" s="14" t="s">
        <v>152</v>
      </c>
      <c r="C308" s="14" t="s">
        <v>153</v>
      </c>
      <c r="D308" s="15">
        <v>4300</v>
      </c>
      <c r="E308" s="15">
        <v>3400</v>
      </c>
      <c r="F308" s="15">
        <v>5100</v>
      </c>
      <c r="G308" s="15">
        <v>5900</v>
      </c>
      <c r="H308" s="15">
        <v>4500</v>
      </c>
      <c r="I308" s="15">
        <v>7500</v>
      </c>
    </row>
    <row r="309" spans="1:9" x14ac:dyDescent="0.2">
      <c r="A309" s="14">
        <v>2012</v>
      </c>
      <c r="B309" s="14" t="s">
        <v>152</v>
      </c>
      <c r="C309" s="14" t="s">
        <v>153</v>
      </c>
      <c r="D309" s="15">
        <v>4500</v>
      </c>
      <c r="E309" s="15">
        <v>3700</v>
      </c>
      <c r="F309" s="15">
        <v>5400</v>
      </c>
      <c r="G309" s="15">
        <v>6200</v>
      </c>
      <c r="H309" s="15">
        <v>4700</v>
      </c>
      <c r="I309" s="15">
        <v>8300</v>
      </c>
    </row>
    <row r="310" spans="1:9" x14ac:dyDescent="0.2">
      <c r="A310" s="14">
        <v>2013</v>
      </c>
      <c r="B310" s="14" t="s">
        <v>152</v>
      </c>
      <c r="C310" s="14" t="s">
        <v>153</v>
      </c>
      <c r="D310" s="15">
        <v>4800</v>
      </c>
      <c r="E310" s="15">
        <v>4000</v>
      </c>
      <c r="F310" s="15">
        <v>5700</v>
      </c>
      <c r="G310" s="15">
        <v>6300</v>
      </c>
      <c r="H310" s="15">
        <v>4700</v>
      </c>
      <c r="I310" s="15">
        <v>8700</v>
      </c>
    </row>
    <row r="311" spans="1:9" x14ac:dyDescent="0.2">
      <c r="A311" s="14">
        <v>2014</v>
      </c>
      <c r="B311" s="14" t="s">
        <v>152</v>
      </c>
      <c r="C311" s="14" t="s">
        <v>153</v>
      </c>
      <c r="D311" s="15">
        <v>5000</v>
      </c>
      <c r="E311" s="15">
        <v>4100</v>
      </c>
      <c r="F311" s="15">
        <v>5800</v>
      </c>
      <c r="G311" s="15">
        <v>6600</v>
      </c>
      <c r="H311" s="15">
        <v>4800</v>
      </c>
      <c r="I311" s="15">
        <v>9200</v>
      </c>
    </row>
    <row r="312" spans="1:9" x14ac:dyDescent="0.2">
      <c r="A312" s="14">
        <v>2015</v>
      </c>
      <c r="B312" s="14" t="s">
        <v>152</v>
      </c>
      <c r="C312" s="14" t="s">
        <v>153</v>
      </c>
      <c r="D312" s="15">
        <v>5200</v>
      </c>
      <c r="E312" s="15">
        <v>4200</v>
      </c>
      <c r="F312" s="15">
        <v>6100</v>
      </c>
      <c r="G312" s="15">
        <v>6800</v>
      </c>
      <c r="H312" s="15">
        <v>4900</v>
      </c>
      <c r="I312" s="15">
        <v>9600</v>
      </c>
    </row>
    <row r="313" spans="1:9" x14ac:dyDescent="0.2">
      <c r="A313" s="14">
        <v>2016</v>
      </c>
      <c r="B313" s="14" t="s">
        <v>152</v>
      </c>
      <c r="C313" s="14" t="s">
        <v>153</v>
      </c>
      <c r="D313" s="15">
        <v>5100</v>
      </c>
      <c r="E313" s="15">
        <v>4200</v>
      </c>
      <c r="F313" s="15">
        <v>6100</v>
      </c>
      <c r="G313" s="15">
        <v>7100</v>
      </c>
      <c r="H313" s="15">
        <v>4900</v>
      </c>
      <c r="I313" s="15">
        <v>10000</v>
      </c>
    </row>
    <row r="314" spans="1:9" x14ac:dyDescent="0.2">
      <c r="A314" s="14">
        <v>2017</v>
      </c>
      <c r="B314" s="14" t="s">
        <v>152</v>
      </c>
      <c r="C314" s="14" t="s">
        <v>153</v>
      </c>
      <c r="D314" s="15">
        <v>5100</v>
      </c>
      <c r="E314" s="15">
        <v>4100</v>
      </c>
      <c r="F314" s="15">
        <v>6100</v>
      </c>
      <c r="G314" s="15">
        <v>7400</v>
      </c>
      <c r="H314" s="15">
        <v>4800</v>
      </c>
      <c r="I314" s="15" t="s">
        <v>22</v>
      </c>
    </row>
    <row r="315" spans="1:9" x14ac:dyDescent="0.2">
      <c r="A315" s="14">
        <v>2018</v>
      </c>
      <c r="B315" s="14" t="s">
        <v>152</v>
      </c>
      <c r="C315" s="14" t="s">
        <v>153</v>
      </c>
      <c r="D315" s="15">
        <v>5200</v>
      </c>
      <c r="E315" s="15">
        <v>4100</v>
      </c>
      <c r="F315" s="15">
        <v>6300</v>
      </c>
      <c r="G315" s="15">
        <v>7700</v>
      </c>
      <c r="H315" s="15">
        <v>4700</v>
      </c>
      <c r="I315" s="15" t="s">
        <v>24</v>
      </c>
    </row>
    <row r="316" spans="1:9" x14ac:dyDescent="0.2">
      <c r="A316" s="14">
        <v>2019</v>
      </c>
      <c r="B316" s="14" t="s">
        <v>152</v>
      </c>
      <c r="C316" s="14" t="s">
        <v>153</v>
      </c>
      <c r="D316" s="15">
        <v>5200</v>
      </c>
      <c r="E316" s="15">
        <v>4000</v>
      </c>
      <c r="F316" s="15">
        <v>6400</v>
      </c>
      <c r="G316" s="15">
        <v>8600</v>
      </c>
      <c r="H316" s="15">
        <v>5200</v>
      </c>
      <c r="I316" s="15" t="s">
        <v>15</v>
      </c>
    </row>
    <row r="317" spans="1:9" x14ac:dyDescent="0.2">
      <c r="A317" s="14">
        <v>2020</v>
      </c>
      <c r="B317" s="14" t="s">
        <v>152</v>
      </c>
      <c r="C317" s="14" t="s">
        <v>153</v>
      </c>
      <c r="D317" s="15">
        <v>5200</v>
      </c>
      <c r="E317" s="15">
        <v>4000</v>
      </c>
      <c r="F317" s="15">
        <v>6600</v>
      </c>
      <c r="G317" s="15">
        <v>8500</v>
      </c>
      <c r="H317" s="15">
        <v>5000</v>
      </c>
      <c r="I317" s="15" t="s">
        <v>15</v>
      </c>
    </row>
    <row r="318" spans="1:9" x14ac:dyDescent="0.2">
      <c r="A318" s="14">
        <v>2021</v>
      </c>
      <c r="B318" s="14" t="s">
        <v>152</v>
      </c>
      <c r="C318" s="14" t="s">
        <v>153</v>
      </c>
      <c r="D318" s="15">
        <v>5200</v>
      </c>
      <c r="E318" s="15">
        <v>4000</v>
      </c>
      <c r="F318" s="15">
        <v>6700</v>
      </c>
      <c r="G318" s="15">
        <v>8800</v>
      </c>
      <c r="H318" s="15">
        <v>5100</v>
      </c>
      <c r="I318" s="15" t="s">
        <v>23</v>
      </c>
    </row>
    <row r="319" spans="1:9" x14ac:dyDescent="0.2">
      <c r="A319" s="14">
        <v>2022</v>
      </c>
      <c r="B319" s="14" t="s">
        <v>152</v>
      </c>
      <c r="C319" s="14" t="s">
        <v>153</v>
      </c>
      <c r="D319" s="15">
        <v>5000</v>
      </c>
      <c r="E319" s="15">
        <v>3700</v>
      </c>
      <c r="F319" s="15">
        <v>6700</v>
      </c>
      <c r="G319" s="15">
        <v>9100</v>
      </c>
      <c r="H319" s="15">
        <v>5000</v>
      </c>
      <c r="I319" s="15" t="s">
        <v>17</v>
      </c>
    </row>
    <row r="320" spans="1:9" x14ac:dyDescent="0.2">
      <c r="A320" s="14">
        <v>2023</v>
      </c>
      <c r="B320" s="14" t="s">
        <v>152</v>
      </c>
      <c r="C320" s="14" t="s">
        <v>153</v>
      </c>
      <c r="D320" s="15">
        <v>4800</v>
      </c>
      <c r="E320" s="15">
        <v>3300</v>
      </c>
      <c r="F320" s="15">
        <v>6600</v>
      </c>
      <c r="G320" s="15">
        <v>8800</v>
      </c>
      <c r="H320" s="15">
        <v>4600</v>
      </c>
      <c r="I320" s="15" t="s">
        <v>17</v>
      </c>
    </row>
    <row r="321" spans="1:9" x14ac:dyDescent="0.2">
      <c r="A321" s="14">
        <v>2024</v>
      </c>
      <c r="B321" s="14" t="s">
        <v>152</v>
      </c>
      <c r="C321" s="14" t="s">
        <v>153</v>
      </c>
      <c r="D321" s="15">
        <v>4600</v>
      </c>
      <c r="E321" s="15">
        <v>2900</v>
      </c>
      <c r="F321" s="15">
        <v>6500</v>
      </c>
      <c r="G321" s="15">
        <v>8600</v>
      </c>
      <c r="H321" s="15">
        <v>4300</v>
      </c>
      <c r="I321" s="15" t="s">
        <v>60</v>
      </c>
    </row>
    <row r="322" spans="1:9" x14ac:dyDescent="0.2">
      <c r="A322" s="14">
        <v>1990</v>
      </c>
      <c r="B322" s="14" t="s">
        <v>155</v>
      </c>
      <c r="C322" s="14" t="s">
        <v>156</v>
      </c>
      <c r="D322" s="15">
        <v>9200</v>
      </c>
      <c r="E322" s="15">
        <v>5600</v>
      </c>
      <c r="F322" s="15" t="s">
        <v>59</v>
      </c>
      <c r="G322" s="15" t="s">
        <v>98</v>
      </c>
      <c r="H322" s="15" t="s">
        <v>42</v>
      </c>
      <c r="I322" s="15" t="s">
        <v>89</v>
      </c>
    </row>
    <row r="323" spans="1:9" x14ac:dyDescent="0.2">
      <c r="A323" s="14">
        <v>1991</v>
      </c>
      <c r="B323" s="14" t="s">
        <v>155</v>
      </c>
      <c r="C323" s="14" t="s">
        <v>156</v>
      </c>
      <c r="D323" s="15" t="s">
        <v>15</v>
      </c>
      <c r="E323" s="15">
        <v>7800</v>
      </c>
      <c r="F323" s="15" t="s">
        <v>47</v>
      </c>
      <c r="G323" s="15" t="s">
        <v>57</v>
      </c>
      <c r="H323" s="15" t="s">
        <v>197</v>
      </c>
      <c r="I323" s="15" t="s">
        <v>34</v>
      </c>
    </row>
    <row r="324" spans="1:9" x14ac:dyDescent="0.2">
      <c r="A324" s="14">
        <v>1992</v>
      </c>
      <c r="B324" s="14" t="s">
        <v>155</v>
      </c>
      <c r="C324" s="14" t="s">
        <v>156</v>
      </c>
      <c r="D324" s="15" t="s">
        <v>62</v>
      </c>
      <c r="E324" s="15" t="s">
        <v>24</v>
      </c>
      <c r="F324" s="15" t="s">
        <v>37</v>
      </c>
      <c r="G324" s="15" t="s">
        <v>4</v>
      </c>
      <c r="H324" s="15" t="s">
        <v>138</v>
      </c>
      <c r="I324" s="15" t="s">
        <v>34</v>
      </c>
    </row>
    <row r="325" spans="1:9" x14ac:dyDescent="0.2">
      <c r="A325" s="14">
        <v>1993</v>
      </c>
      <c r="B325" s="14" t="s">
        <v>155</v>
      </c>
      <c r="C325" s="14" t="s">
        <v>156</v>
      </c>
      <c r="D325" s="15" t="s">
        <v>81</v>
      </c>
      <c r="E325" s="15" t="s">
        <v>17</v>
      </c>
      <c r="F325" s="15" t="s">
        <v>79</v>
      </c>
      <c r="G325" s="15" t="s">
        <v>110</v>
      </c>
      <c r="H325" s="15" t="s">
        <v>197</v>
      </c>
      <c r="I325" s="15" t="s">
        <v>93</v>
      </c>
    </row>
    <row r="326" spans="1:9" x14ac:dyDescent="0.2">
      <c r="A326" s="14">
        <v>1994</v>
      </c>
      <c r="B326" s="14" t="s">
        <v>155</v>
      </c>
      <c r="C326" s="14" t="s">
        <v>156</v>
      </c>
      <c r="D326" s="15" t="s">
        <v>71</v>
      </c>
      <c r="E326" s="15" t="s">
        <v>59</v>
      </c>
      <c r="F326" s="15" t="s">
        <v>73</v>
      </c>
      <c r="G326" s="15" t="s">
        <v>92</v>
      </c>
      <c r="H326" s="15" t="s">
        <v>44</v>
      </c>
      <c r="I326" s="15" t="s">
        <v>121</v>
      </c>
    </row>
    <row r="327" spans="1:9" x14ac:dyDescent="0.2">
      <c r="A327" s="14">
        <v>1995</v>
      </c>
      <c r="B327" s="14" t="s">
        <v>155</v>
      </c>
      <c r="C327" s="14" t="s">
        <v>156</v>
      </c>
      <c r="D327" s="15" t="s">
        <v>36</v>
      </c>
      <c r="E327" s="15" t="s">
        <v>47</v>
      </c>
      <c r="F327" s="15" t="s">
        <v>72</v>
      </c>
      <c r="G327" s="15" t="s">
        <v>154</v>
      </c>
      <c r="H327" s="15" t="s">
        <v>141</v>
      </c>
      <c r="I327" s="15" t="s">
        <v>106</v>
      </c>
    </row>
    <row r="328" spans="1:9" x14ac:dyDescent="0.2">
      <c r="A328" s="14">
        <v>1996</v>
      </c>
      <c r="B328" s="14" t="s">
        <v>155</v>
      </c>
      <c r="C328" s="14" t="s">
        <v>156</v>
      </c>
      <c r="D328" s="15" t="s">
        <v>75</v>
      </c>
      <c r="E328" s="15" t="s">
        <v>61</v>
      </c>
      <c r="F328" s="15" t="s">
        <v>115</v>
      </c>
      <c r="G328" s="15" t="s">
        <v>197</v>
      </c>
      <c r="H328" s="15" t="s">
        <v>54</v>
      </c>
      <c r="I328" s="15" t="s">
        <v>110</v>
      </c>
    </row>
    <row r="329" spans="1:9" x14ac:dyDescent="0.2">
      <c r="A329" s="14">
        <v>1997</v>
      </c>
      <c r="B329" s="14" t="s">
        <v>155</v>
      </c>
      <c r="C329" s="14" t="s">
        <v>156</v>
      </c>
      <c r="D329" s="15" t="s">
        <v>52</v>
      </c>
      <c r="E329" s="15" t="s">
        <v>36</v>
      </c>
      <c r="F329" s="15" t="s">
        <v>54</v>
      </c>
      <c r="G329" s="15" t="s">
        <v>56</v>
      </c>
      <c r="H329" s="15" t="s">
        <v>115</v>
      </c>
      <c r="I329" s="15" t="s">
        <v>133</v>
      </c>
    </row>
    <row r="330" spans="1:9" x14ac:dyDescent="0.2">
      <c r="A330" s="14">
        <v>1998</v>
      </c>
      <c r="B330" s="14" t="s">
        <v>155</v>
      </c>
      <c r="C330" s="14" t="s">
        <v>156</v>
      </c>
      <c r="D330" s="15" t="s">
        <v>48</v>
      </c>
      <c r="E330" s="15" t="s">
        <v>75</v>
      </c>
      <c r="F330" s="15" t="s">
        <v>42</v>
      </c>
      <c r="G330" s="15" t="s">
        <v>128</v>
      </c>
      <c r="H330" s="15" t="s">
        <v>50</v>
      </c>
      <c r="I330" s="15" t="s">
        <v>99</v>
      </c>
    </row>
    <row r="331" spans="1:9" x14ac:dyDescent="0.2">
      <c r="A331" s="14">
        <v>1999</v>
      </c>
      <c r="B331" s="14" t="s">
        <v>155</v>
      </c>
      <c r="C331" s="14" t="s">
        <v>156</v>
      </c>
      <c r="D331" s="15" t="s">
        <v>122</v>
      </c>
      <c r="E331" s="15" t="s">
        <v>73</v>
      </c>
      <c r="F331" s="15" t="s">
        <v>56</v>
      </c>
      <c r="G331" s="15" t="s">
        <v>96</v>
      </c>
      <c r="H331" s="15" t="s">
        <v>129</v>
      </c>
      <c r="I331" s="15" t="s">
        <v>142</v>
      </c>
    </row>
    <row r="332" spans="1:9" x14ac:dyDescent="0.2">
      <c r="A332" s="14">
        <v>2000</v>
      </c>
      <c r="B332" s="14" t="s">
        <v>155</v>
      </c>
      <c r="C332" s="14" t="s">
        <v>156</v>
      </c>
      <c r="D332" s="15" t="s">
        <v>115</v>
      </c>
      <c r="E332" s="15" t="s">
        <v>88</v>
      </c>
      <c r="F332" s="15" t="s">
        <v>105</v>
      </c>
      <c r="G332" s="15" t="s">
        <v>50</v>
      </c>
      <c r="H332" s="15" t="s">
        <v>52</v>
      </c>
      <c r="I332" s="15" t="s">
        <v>96</v>
      </c>
    </row>
    <row r="333" spans="1:9" x14ac:dyDescent="0.2">
      <c r="A333" s="14">
        <v>2001</v>
      </c>
      <c r="B333" s="14" t="s">
        <v>155</v>
      </c>
      <c r="C333" s="14" t="s">
        <v>156</v>
      </c>
      <c r="D333" s="15" t="s">
        <v>43</v>
      </c>
      <c r="E333" s="15" t="s">
        <v>48</v>
      </c>
      <c r="F333" s="15" t="s">
        <v>58</v>
      </c>
      <c r="G333" s="15" t="s">
        <v>87</v>
      </c>
      <c r="H333" s="15" t="s">
        <v>145</v>
      </c>
      <c r="I333" s="15" t="s">
        <v>86</v>
      </c>
    </row>
    <row r="334" spans="1:9" x14ac:dyDescent="0.2">
      <c r="A334" s="14">
        <v>2002</v>
      </c>
      <c r="B334" s="14" t="s">
        <v>155</v>
      </c>
      <c r="C334" s="14" t="s">
        <v>156</v>
      </c>
      <c r="D334" s="15" t="s">
        <v>95</v>
      </c>
      <c r="E334" s="15" t="s">
        <v>72</v>
      </c>
      <c r="F334" s="15" t="s">
        <v>58</v>
      </c>
      <c r="G334" s="15" t="s">
        <v>52</v>
      </c>
      <c r="H334" s="15" t="s">
        <v>79</v>
      </c>
      <c r="I334" s="15" t="s">
        <v>122</v>
      </c>
    </row>
    <row r="335" spans="1:9" x14ac:dyDescent="0.2">
      <c r="A335" s="14">
        <v>2003</v>
      </c>
      <c r="B335" s="14" t="s">
        <v>155</v>
      </c>
      <c r="C335" s="14" t="s">
        <v>156</v>
      </c>
      <c r="D335" s="15" t="s">
        <v>95</v>
      </c>
      <c r="E335" s="15" t="s">
        <v>129</v>
      </c>
      <c r="F335" s="15" t="s">
        <v>105</v>
      </c>
      <c r="G335" s="15" t="s">
        <v>75</v>
      </c>
      <c r="H335" s="15" t="s">
        <v>53</v>
      </c>
      <c r="I335" s="15" t="s">
        <v>48</v>
      </c>
    </row>
    <row r="336" spans="1:9" x14ac:dyDescent="0.2">
      <c r="A336" s="14">
        <v>2004</v>
      </c>
      <c r="B336" s="14" t="s">
        <v>155</v>
      </c>
      <c r="C336" s="14" t="s">
        <v>156</v>
      </c>
      <c r="D336" s="15" t="s">
        <v>95</v>
      </c>
      <c r="E336" s="15" t="s">
        <v>129</v>
      </c>
      <c r="F336" s="15" t="s">
        <v>124</v>
      </c>
      <c r="G336" s="15" t="s">
        <v>79</v>
      </c>
      <c r="H336" s="15" t="s">
        <v>37</v>
      </c>
      <c r="I336" s="15" t="s">
        <v>88</v>
      </c>
    </row>
    <row r="337" spans="1:9" x14ac:dyDescent="0.2">
      <c r="A337" s="14">
        <v>2005</v>
      </c>
      <c r="B337" s="14" t="s">
        <v>155</v>
      </c>
      <c r="C337" s="14" t="s">
        <v>156</v>
      </c>
      <c r="D337" s="15" t="s">
        <v>115</v>
      </c>
      <c r="E337" s="15" t="s">
        <v>87</v>
      </c>
      <c r="F337" s="15" t="s">
        <v>42</v>
      </c>
      <c r="G337" s="15" t="s">
        <v>53</v>
      </c>
      <c r="H337" s="15" t="s">
        <v>49</v>
      </c>
      <c r="I337" s="15" t="s">
        <v>73</v>
      </c>
    </row>
    <row r="338" spans="1:9" x14ac:dyDescent="0.2">
      <c r="A338" s="14">
        <v>2006</v>
      </c>
      <c r="B338" s="14" t="s">
        <v>155</v>
      </c>
      <c r="C338" s="14" t="s">
        <v>156</v>
      </c>
      <c r="D338" s="15" t="s">
        <v>72</v>
      </c>
      <c r="E338" s="15" t="s">
        <v>73</v>
      </c>
      <c r="F338" s="15" t="s">
        <v>95</v>
      </c>
      <c r="G338" s="15" t="s">
        <v>37</v>
      </c>
      <c r="H338" s="15" t="s">
        <v>47</v>
      </c>
      <c r="I338" s="15" t="s">
        <v>75</v>
      </c>
    </row>
    <row r="339" spans="1:9" x14ac:dyDescent="0.2">
      <c r="A339" s="14">
        <v>2007</v>
      </c>
      <c r="B339" s="14" t="s">
        <v>155</v>
      </c>
      <c r="C339" s="14" t="s">
        <v>156</v>
      </c>
      <c r="D339" s="15" t="s">
        <v>88</v>
      </c>
      <c r="E339" s="15" t="s">
        <v>75</v>
      </c>
      <c r="F339" s="15" t="s">
        <v>115</v>
      </c>
      <c r="G339" s="15" t="s">
        <v>61</v>
      </c>
      <c r="H339" s="15" t="s">
        <v>51</v>
      </c>
      <c r="I339" s="15" t="s">
        <v>79</v>
      </c>
    </row>
    <row r="340" spans="1:9" x14ac:dyDescent="0.2">
      <c r="A340" s="14">
        <v>2008</v>
      </c>
      <c r="B340" s="14" t="s">
        <v>155</v>
      </c>
      <c r="C340" s="14" t="s">
        <v>156</v>
      </c>
      <c r="D340" s="15" t="s">
        <v>82</v>
      </c>
      <c r="E340" s="15" t="s">
        <v>36</v>
      </c>
      <c r="F340" s="15" t="s">
        <v>72</v>
      </c>
      <c r="G340" s="15" t="s">
        <v>81</v>
      </c>
      <c r="H340" s="15" t="s">
        <v>60</v>
      </c>
      <c r="I340" s="15" t="s">
        <v>113</v>
      </c>
    </row>
    <row r="341" spans="1:9" x14ac:dyDescent="0.2">
      <c r="A341" s="14">
        <v>2009</v>
      </c>
      <c r="B341" s="14" t="s">
        <v>155</v>
      </c>
      <c r="C341" s="14" t="s">
        <v>156</v>
      </c>
      <c r="D341" s="15" t="s">
        <v>46</v>
      </c>
      <c r="E341" s="15" t="s">
        <v>61</v>
      </c>
      <c r="F341" s="15" t="s">
        <v>52</v>
      </c>
      <c r="G341" s="15" t="s">
        <v>81</v>
      </c>
      <c r="H341" s="15" t="s">
        <v>60</v>
      </c>
      <c r="I341" s="15" t="s">
        <v>53</v>
      </c>
    </row>
    <row r="342" spans="1:9" x14ac:dyDescent="0.2">
      <c r="A342" s="14">
        <v>2010</v>
      </c>
      <c r="B342" s="14" t="s">
        <v>155</v>
      </c>
      <c r="C342" s="14" t="s">
        <v>156</v>
      </c>
      <c r="D342" s="15" t="s">
        <v>53</v>
      </c>
      <c r="E342" s="15" t="s">
        <v>49</v>
      </c>
      <c r="F342" s="15" t="s">
        <v>82</v>
      </c>
      <c r="G342" s="15" t="s">
        <v>51</v>
      </c>
      <c r="H342" s="15" t="s">
        <v>17</v>
      </c>
      <c r="I342" s="15" t="s">
        <v>113</v>
      </c>
    </row>
    <row r="343" spans="1:9" x14ac:dyDescent="0.2">
      <c r="A343" s="14">
        <v>2011</v>
      </c>
      <c r="B343" s="14" t="s">
        <v>155</v>
      </c>
      <c r="C343" s="14" t="s">
        <v>156</v>
      </c>
      <c r="D343" s="15" t="s">
        <v>113</v>
      </c>
      <c r="E343" s="15" t="s">
        <v>78</v>
      </c>
      <c r="F343" s="15" t="s">
        <v>75</v>
      </c>
      <c r="G343" s="15" t="s">
        <v>59</v>
      </c>
      <c r="H343" s="15" t="s">
        <v>15</v>
      </c>
      <c r="I343" s="15" t="s">
        <v>61</v>
      </c>
    </row>
    <row r="344" spans="1:9" x14ac:dyDescent="0.2">
      <c r="A344" s="14">
        <v>2012</v>
      </c>
      <c r="B344" s="14" t="s">
        <v>155</v>
      </c>
      <c r="C344" s="14" t="s">
        <v>156</v>
      </c>
      <c r="D344" s="15" t="s">
        <v>71</v>
      </c>
      <c r="E344" s="15" t="s">
        <v>81</v>
      </c>
      <c r="F344" s="15" t="s">
        <v>46</v>
      </c>
      <c r="G344" s="15" t="s">
        <v>60</v>
      </c>
      <c r="H344" s="15" t="s">
        <v>24</v>
      </c>
      <c r="I344" s="15" t="s">
        <v>49</v>
      </c>
    </row>
    <row r="345" spans="1:9" x14ac:dyDescent="0.2">
      <c r="A345" s="14">
        <v>2013</v>
      </c>
      <c r="B345" s="14" t="s">
        <v>155</v>
      </c>
      <c r="C345" s="14" t="s">
        <v>156</v>
      </c>
      <c r="D345" s="15" t="s">
        <v>49</v>
      </c>
      <c r="E345" s="15" t="s">
        <v>51</v>
      </c>
      <c r="F345" s="15" t="s">
        <v>36</v>
      </c>
      <c r="G345" s="15" t="s">
        <v>60</v>
      </c>
      <c r="H345" s="15">
        <v>9900</v>
      </c>
      <c r="I345" s="15" t="s">
        <v>78</v>
      </c>
    </row>
    <row r="346" spans="1:9" x14ac:dyDescent="0.2">
      <c r="A346" s="14">
        <v>2014</v>
      </c>
      <c r="B346" s="14" t="s">
        <v>155</v>
      </c>
      <c r="C346" s="14" t="s">
        <v>156</v>
      </c>
      <c r="D346" s="15" t="s">
        <v>49</v>
      </c>
      <c r="E346" s="15" t="s">
        <v>16</v>
      </c>
      <c r="F346" s="15" t="s">
        <v>36</v>
      </c>
      <c r="G346" s="15" t="s">
        <v>23</v>
      </c>
      <c r="H346" s="15">
        <v>7800</v>
      </c>
      <c r="I346" s="15" t="s">
        <v>81</v>
      </c>
    </row>
    <row r="347" spans="1:9" x14ac:dyDescent="0.2">
      <c r="A347" s="14">
        <v>2015</v>
      </c>
      <c r="B347" s="14" t="s">
        <v>155</v>
      </c>
      <c r="C347" s="14" t="s">
        <v>156</v>
      </c>
      <c r="D347" s="15" t="s">
        <v>47</v>
      </c>
      <c r="E347" s="15" t="s">
        <v>59</v>
      </c>
      <c r="F347" s="15" t="s">
        <v>37</v>
      </c>
      <c r="G347" s="15" t="s">
        <v>17</v>
      </c>
      <c r="H347" s="15">
        <v>8700</v>
      </c>
      <c r="I347" s="15" t="s">
        <v>81</v>
      </c>
    </row>
    <row r="348" spans="1:9" x14ac:dyDescent="0.2">
      <c r="A348" s="14">
        <v>2016</v>
      </c>
      <c r="B348" s="14" t="s">
        <v>155</v>
      </c>
      <c r="C348" s="14" t="s">
        <v>156</v>
      </c>
      <c r="D348" s="15" t="s">
        <v>51</v>
      </c>
      <c r="E348" s="15" t="s">
        <v>60</v>
      </c>
      <c r="F348" s="15" t="s">
        <v>49</v>
      </c>
      <c r="G348" s="15" t="s">
        <v>17</v>
      </c>
      <c r="H348" s="15">
        <v>8500</v>
      </c>
      <c r="I348" s="15" t="s">
        <v>81</v>
      </c>
    </row>
    <row r="349" spans="1:9" x14ac:dyDescent="0.2">
      <c r="A349" s="14">
        <v>2017</v>
      </c>
      <c r="B349" s="14" t="s">
        <v>155</v>
      </c>
      <c r="C349" s="14" t="s">
        <v>156</v>
      </c>
      <c r="D349" s="15" t="s">
        <v>62</v>
      </c>
      <c r="E349" s="15" t="s">
        <v>23</v>
      </c>
      <c r="F349" s="15" t="s">
        <v>47</v>
      </c>
      <c r="G349" s="15" t="s">
        <v>15</v>
      </c>
      <c r="H349" s="15">
        <v>7000</v>
      </c>
      <c r="I349" s="15" t="s">
        <v>16</v>
      </c>
    </row>
    <row r="350" spans="1:9" x14ac:dyDescent="0.2">
      <c r="A350" s="14">
        <v>2018</v>
      </c>
      <c r="B350" s="14" t="s">
        <v>155</v>
      </c>
      <c r="C350" s="14" t="s">
        <v>156</v>
      </c>
      <c r="D350" s="15" t="s">
        <v>17</v>
      </c>
      <c r="E350" s="15" t="s">
        <v>24</v>
      </c>
      <c r="F350" s="15" t="s">
        <v>16</v>
      </c>
      <c r="G350" s="15" t="s">
        <v>24</v>
      </c>
      <c r="H350" s="15">
        <v>6200</v>
      </c>
      <c r="I350" s="15" t="s">
        <v>59</v>
      </c>
    </row>
    <row r="351" spans="1:9" x14ac:dyDescent="0.2">
      <c r="A351" s="14">
        <v>2019</v>
      </c>
      <c r="B351" s="14" t="s">
        <v>155</v>
      </c>
      <c r="C351" s="14" t="s">
        <v>156</v>
      </c>
      <c r="D351" s="15" t="s">
        <v>15</v>
      </c>
      <c r="E351" s="15">
        <v>9600</v>
      </c>
      <c r="F351" s="15" t="s">
        <v>62</v>
      </c>
      <c r="G351" s="15">
        <v>9600</v>
      </c>
      <c r="H351" s="15">
        <v>5800</v>
      </c>
      <c r="I351" s="15" t="s">
        <v>60</v>
      </c>
    </row>
    <row r="352" spans="1:9" x14ac:dyDescent="0.2">
      <c r="A352" s="14">
        <v>2020</v>
      </c>
      <c r="B352" s="14" t="s">
        <v>155</v>
      </c>
      <c r="C352" s="14" t="s">
        <v>156</v>
      </c>
      <c r="D352" s="15" t="s">
        <v>24</v>
      </c>
      <c r="E352" s="15">
        <v>8400</v>
      </c>
      <c r="F352" s="15" t="s">
        <v>17</v>
      </c>
      <c r="G352" s="15">
        <v>9300</v>
      </c>
      <c r="H352" s="15">
        <v>5600</v>
      </c>
      <c r="I352" s="15" t="s">
        <v>60</v>
      </c>
    </row>
    <row r="353" spans="1:9" x14ac:dyDescent="0.2">
      <c r="A353" s="14">
        <v>2021</v>
      </c>
      <c r="B353" s="14" t="s">
        <v>155</v>
      </c>
      <c r="C353" s="14" t="s">
        <v>156</v>
      </c>
      <c r="D353" s="15" t="s">
        <v>22</v>
      </c>
      <c r="E353" s="15">
        <v>7700</v>
      </c>
      <c r="F353" s="15" t="s">
        <v>23</v>
      </c>
      <c r="G353" s="15">
        <v>9200</v>
      </c>
      <c r="H353" s="15">
        <v>5600</v>
      </c>
      <c r="I353" s="15" t="s">
        <v>60</v>
      </c>
    </row>
    <row r="354" spans="1:9" x14ac:dyDescent="0.2">
      <c r="A354" s="14">
        <v>2022</v>
      </c>
      <c r="B354" s="14" t="s">
        <v>155</v>
      </c>
      <c r="C354" s="14" t="s">
        <v>156</v>
      </c>
      <c r="D354" s="15">
        <v>9600</v>
      </c>
      <c r="E354" s="15">
        <v>7300</v>
      </c>
      <c r="F354" s="15" t="s">
        <v>23</v>
      </c>
      <c r="G354" s="15">
        <v>8300</v>
      </c>
      <c r="H354" s="15">
        <v>4600</v>
      </c>
      <c r="I354" s="15" t="s">
        <v>17</v>
      </c>
    </row>
    <row r="355" spans="1:9" x14ac:dyDescent="0.2">
      <c r="A355" s="14">
        <v>2023</v>
      </c>
      <c r="B355" s="14" t="s">
        <v>155</v>
      </c>
      <c r="C355" s="14" t="s">
        <v>156</v>
      </c>
      <c r="D355" s="15">
        <v>8600</v>
      </c>
      <c r="E355" s="15">
        <v>6500</v>
      </c>
      <c r="F355" s="15" t="s">
        <v>24</v>
      </c>
      <c r="G355" s="15">
        <v>7900</v>
      </c>
      <c r="H355" s="15">
        <v>4400</v>
      </c>
      <c r="I355" s="15" t="s">
        <v>17</v>
      </c>
    </row>
    <row r="356" spans="1:9" x14ac:dyDescent="0.2">
      <c r="A356" s="14">
        <v>2024</v>
      </c>
      <c r="B356" s="14" t="s">
        <v>155</v>
      </c>
      <c r="C356" s="14" t="s">
        <v>156</v>
      </c>
      <c r="D356" s="15">
        <v>7700</v>
      </c>
      <c r="E356" s="15">
        <v>5600</v>
      </c>
      <c r="F356" s="15" t="s">
        <v>24</v>
      </c>
      <c r="G356" s="15">
        <v>7200</v>
      </c>
      <c r="H356" s="15">
        <v>3900</v>
      </c>
      <c r="I356" s="15" t="s">
        <v>23</v>
      </c>
    </row>
    <row r="357" spans="1:9" x14ac:dyDescent="0.2">
      <c r="A357" s="14">
        <v>1990</v>
      </c>
      <c r="B357" s="14" t="s">
        <v>157</v>
      </c>
      <c r="C357" s="14" t="s">
        <v>158</v>
      </c>
      <c r="D357" s="15" t="s">
        <v>62</v>
      </c>
      <c r="E357" s="15" t="s">
        <v>24</v>
      </c>
      <c r="F357" s="15" t="s">
        <v>78</v>
      </c>
      <c r="G357" s="15" t="s">
        <v>103</v>
      </c>
      <c r="H357" s="15" t="s">
        <v>96</v>
      </c>
      <c r="I357" s="15" t="s">
        <v>89</v>
      </c>
    </row>
    <row r="358" spans="1:9" x14ac:dyDescent="0.2">
      <c r="A358" s="14">
        <v>1991</v>
      </c>
      <c r="B358" s="14" t="s">
        <v>157</v>
      </c>
      <c r="C358" s="14" t="s">
        <v>158</v>
      </c>
      <c r="D358" s="15" t="s">
        <v>51</v>
      </c>
      <c r="E358" s="15" t="s">
        <v>17</v>
      </c>
      <c r="F358" s="15" t="s">
        <v>113</v>
      </c>
      <c r="G358" s="15" t="s">
        <v>111</v>
      </c>
      <c r="H358" s="15" t="s">
        <v>54</v>
      </c>
      <c r="I358" s="15" t="s">
        <v>93</v>
      </c>
    </row>
    <row r="359" spans="1:9" x14ac:dyDescent="0.2">
      <c r="A359" s="14">
        <v>1992</v>
      </c>
      <c r="B359" s="14" t="s">
        <v>157</v>
      </c>
      <c r="C359" s="14" t="s">
        <v>158</v>
      </c>
      <c r="D359" s="15" t="s">
        <v>49</v>
      </c>
      <c r="E359" s="15" t="s">
        <v>59</v>
      </c>
      <c r="F359" s="15" t="s">
        <v>38</v>
      </c>
      <c r="G359" s="15" t="s">
        <v>138</v>
      </c>
      <c r="H359" s="15" t="s">
        <v>54</v>
      </c>
      <c r="I359" s="15" t="s">
        <v>112</v>
      </c>
    </row>
    <row r="360" spans="1:9" x14ac:dyDescent="0.2">
      <c r="A360" s="14">
        <v>1993</v>
      </c>
      <c r="B360" s="14" t="s">
        <v>157</v>
      </c>
      <c r="C360" s="14" t="s">
        <v>158</v>
      </c>
      <c r="D360" s="15" t="s">
        <v>113</v>
      </c>
      <c r="E360" s="15" t="s">
        <v>47</v>
      </c>
      <c r="F360" s="15" t="s">
        <v>52</v>
      </c>
      <c r="G360" s="15" t="s">
        <v>99</v>
      </c>
      <c r="H360" s="15" t="s">
        <v>43</v>
      </c>
      <c r="I360" s="15" t="s">
        <v>97</v>
      </c>
    </row>
    <row r="361" spans="1:9" x14ac:dyDescent="0.2">
      <c r="A361" s="14">
        <v>1994</v>
      </c>
      <c r="B361" s="14" t="s">
        <v>157</v>
      </c>
      <c r="C361" s="14" t="s">
        <v>158</v>
      </c>
      <c r="D361" s="15" t="s">
        <v>79</v>
      </c>
      <c r="E361" s="15" t="s">
        <v>49</v>
      </c>
      <c r="F361" s="15" t="s">
        <v>72</v>
      </c>
      <c r="G361" s="15" t="s">
        <v>44</v>
      </c>
      <c r="H361" s="15" t="s">
        <v>132</v>
      </c>
      <c r="I361" s="15" t="s">
        <v>57</v>
      </c>
    </row>
    <row r="362" spans="1:9" x14ac:dyDescent="0.2">
      <c r="A362" s="14">
        <v>1995</v>
      </c>
      <c r="B362" s="14" t="s">
        <v>157</v>
      </c>
      <c r="C362" s="14" t="s">
        <v>158</v>
      </c>
      <c r="D362" s="15" t="s">
        <v>73</v>
      </c>
      <c r="E362" s="15" t="s">
        <v>113</v>
      </c>
      <c r="F362" s="15" t="s">
        <v>86</v>
      </c>
      <c r="G362" s="15" t="s">
        <v>105</v>
      </c>
      <c r="H362" s="15" t="s">
        <v>50</v>
      </c>
      <c r="I362" s="15" t="s">
        <v>110</v>
      </c>
    </row>
    <row r="363" spans="1:9" x14ac:dyDescent="0.2">
      <c r="A363" s="14">
        <v>1996</v>
      </c>
      <c r="B363" s="14" t="s">
        <v>157</v>
      </c>
      <c r="C363" s="14" t="s">
        <v>158</v>
      </c>
      <c r="D363" s="15" t="s">
        <v>88</v>
      </c>
      <c r="E363" s="15" t="s">
        <v>46</v>
      </c>
      <c r="F363" s="15" t="s">
        <v>96</v>
      </c>
      <c r="G363" s="15" t="s">
        <v>124</v>
      </c>
      <c r="H363" s="15" t="s">
        <v>122</v>
      </c>
      <c r="I363" s="15" t="s">
        <v>92</v>
      </c>
    </row>
    <row r="364" spans="1:9" x14ac:dyDescent="0.2">
      <c r="A364" s="14">
        <v>1997</v>
      </c>
      <c r="B364" s="14" t="s">
        <v>157</v>
      </c>
      <c r="C364" s="14" t="s">
        <v>158</v>
      </c>
      <c r="D364" s="15" t="s">
        <v>48</v>
      </c>
      <c r="E364" s="15" t="s">
        <v>79</v>
      </c>
      <c r="F364" s="15" t="s">
        <v>125</v>
      </c>
      <c r="G364" s="15" t="s">
        <v>141</v>
      </c>
      <c r="H364" s="15" t="s">
        <v>50</v>
      </c>
      <c r="I364" s="15" t="s">
        <v>161</v>
      </c>
    </row>
    <row r="365" spans="1:9" x14ac:dyDescent="0.2">
      <c r="A365" s="14">
        <v>1998</v>
      </c>
      <c r="B365" s="14" t="s">
        <v>157</v>
      </c>
      <c r="C365" s="14" t="s">
        <v>158</v>
      </c>
      <c r="D365" s="15" t="s">
        <v>129</v>
      </c>
      <c r="E365" s="15" t="s">
        <v>75</v>
      </c>
      <c r="F365" s="15" t="s">
        <v>193</v>
      </c>
      <c r="G365" s="15" t="s">
        <v>54</v>
      </c>
      <c r="H365" s="15" t="s">
        <v>48</v>
      </c>
      <c r="I365" s="15" t="s">
        <v>99</v>
      </c>
    </row>
    <row r="366" spans="1:9" x14ac:dyDescent="0.2">
      <c r="A366" s="14">
        <v>1999</v>
      </c>
      <c r="B366" s="14" t="s">
        <v>157</v>
      </c>
      <c r="C366" s="14" t="s">
        <v>158</v>
      </c>
      <c r="D366" s="15" t="s">
        <v>122</v>
      </c>
      <c r="E366" s="15" t="s">
        <v>82</v>
      </c>
      <c r="F366" s="15" t="s">
        <v>105</v>
      </c>
      <c r="G366" s="15" t="s">
        <v>43</v>
      </c>
      <c r="H366" s="15" t="s">
        <v>88</v>
      </c>
      <c r="I366" s="15" t="s">
        <v>44</v>
      </c>
    </row>
    <row r="367" spans="1:9" x14ac:dyDescent="0.2">
      <c r="A367" s="14">
        <v>2000</v>
      </c>
      <c r="B367" s="14" t="s">
        <v>157</v>
      </c>
      <c r="C367" s="14" t="s">
        <v>158</v>
      </c>
      <c r="D367" s="15" t="s">
        <v>115</v>
      </c>
      <c r="E367" s="15" t="s">
        <v>73</v>
      </c>
      <c r="F367" s="15" t="s">
        <v>58</v>
      </c>
      <c r="G367" s="15" t="s">
        <v>115</v>
      </c>
      <c r="H367" s="15" t="s">
        <v>74</v>
      </c>
      <c r="I367" s="15" t="s">
        <v>105</v>
      </c>
    </row>
    <row r="368" spans="1:9" x14ac:dyDescent="0.2">
      <c r="A368" s="14">
        <v>2001</v>
      </c>
      <c r="B368" s="14" t="s">
        <v>157</v>
      </c>
      <c r="C368" s="14" t="s">
        <v>158</v>
      </c>
      <c r="D368" s="15" t="s">
        <v>86</v>
      </c>
      <c r="E368" s="15" t="s">
        <v>52</v>
      </c>
      <c r="F368" s="15" t="s">
        <v>142</v>
      </c>
      <c r="G368" s="15" t="s">
        <v>50</v>
      </c>
      <c r="H368" s="15" t="s">
        <v>73</v>
      </c>
      <c r="I368" s="15" t="s">
        <v>42</v>
      </c>
    </row>
    <row r="369" spans="1:9" x14ac:dyDescent="0.2">
      <c r="A369" s="14">
        <v>2002</v>
      </c>
      <c r="B369" s="14" t="s">
        <v>157</v>
      </c>
      <c r="C369" s="14" t="s">
        <v>158</v>
      </c>
      <c r="D369" s="15" t="s">
        <v>43</v>
      </c>
      <c r="E369" s="15" t="s">
        <v>74</v>
      </c>
      <c r="F369" s="15" t="s">
        <v>170</v>
      </c>
      <c r="G369" s="15" t="s">
        <v>129</v>
      </c>
      <c r="H369" s="15" t="s">
        <v>82</v>
      </c>
      <c r="I369" s="15" t="s">
        <v>42</v>
      </c>
    </row>
    <row r="370" spans="1:9" x14ac:dyDescent="0.2">
      <c r="A370" s="14">
        <v>2003</v>
      </c>
      <c r="B370" s="14" t="s">
        <v>157</v>
      </c>
      <c r="C370" s="14" t="s">
        <v>158</v>
      </c>
      <c r="D370" s="15" t="s">
        <v>95</v>
      </c>
      <c r="E370" s="15" t="s">
        <v>88</v>
      </c>
      <c r="F370" s="15" t="s">
        <v>170</v>
      </c>
      <c r="G370" s="15" t="s">
        <v>48</v>
      </c>
      <c r="H370" s="15" t="s">
        <v>145</v>
      </c>
      <c r="I370" s="15" t="s">
        <v>96</v>
      </c>
    </row>
    <row r="371" spans="1:9" x14ac:dyDescent="0.2">
      <c r="A371" s="14">
        <v>2004</v>
      </c>
      <c r="B371" s="14" t="s">
        <v>157</v>
      </c>
      <c r="C371" s="14" t="s">
        <v>158</v>
      </c>
      <c r="D371" s="15" t="s">
        <v>43</v>
      </c>
      <c r="E371" s="15" t="s">
        <v>88</v>
      </c>
      <c r="F371" s="15" t="s">
        <v>142</v>
      </c>
      <c r="G371" s="15" t="s">
        <v>87</v>
      </c>
      <c r="H371" s="15" t="s">
        <v>75</v>
      </c>
      <c r="I371" s="15" t="s">
        <v>54</v>
      </c>
    </row>
    <row r="372" spans="1:9" x14ac:dyDescent="0.2">
      <c r="A372" s="14">
        <v>2005</v>
      </c>
      <c r="B372" s="14" t="s">
        <v>157</v>
      </c>
      <c r="C372" s="14" t="s">
        <v>158</v>
      </c>
      <c r="D372" s="15" t="s">
        <v>86</v>
      </c>
      <c r="E372" s="15" t="s">
        <v>74</v>
      </c>
      <c r="F372" s="15" t="s">
        <v>58</v>
      </c>
      <c r="G372" s="15" t="s">
        <v>74</v>
      </c>
      <c r="H372" s="15" t="s">
        <v>79</v>
      </c>
      <c r="I372" s="15" t="s">
        <v>95</v>
      </c>
    </row>
    <row r="373" spans="1:9" x14ac:dyDescent="0.2">
      <c r="A373" s="14">
        <v>2006</v>
      </c>
      <c r="B373" s="14" t="s">
        <v>157</v>
      </c>
      <c r="C373" s="14" t="s">
        <v>158</v>
      </c>
      <c r="D373" s="15" t="s">
        <v>132</v>
      </c>
      <c r="E373" s="15" t="s">
        <v>73</v>
      </c>
      <c r="F373" s="15" t="s">
        <v>56</v>
      </c>
      <c r="G373" s="15" t="s">
        <v>52</v>
      </c>
      <c r="H373" s="15" t="s">
        <v>46</v>
      </c>
      <c r="I373" s="15" t="s">
        <v>86</v>
      </c>
    </row>
    <row r="374" spans="1:9" x14ac:dyDescent="0.2">
      <c r="A374" s="14">
        <v>2007</v>
      </c>
      <c r="B374" s="14" t="s">
        <v>157</v>
      </c>
      <c r="C374" s="14" t="s">
        <v>158</v>
      </c>
      <c r="D374" s="15" t="s">
        <v>50</v>
      </c>
      <c r="E374" s="15" t="s">
        <v>145</v>
      </c>
      <c r="F374" s="15" t="s">
        <v>141</v>
      </c>
      <c r="G374" s="15" t="s">
        <v>82</v>
      </c>
      <c r="H374" s="15" t="s">
        <v>53</v>
      </c>
      <c r="I374" s="15" t="s">
        <v>132</v>
      </c>
    </row>
    <row r="375" spans="1:9" x14ac:dyDescent="0.2">
      <c r="A375" s="14">
        <v>2008</v>
      </c>
      <c r="B375" s="14" t="s">
        <v>157</v>
      </c>
      <c r="C375" s="14" t="s">
        <v>158</v>
      </c>
      <c r="D375" s="15" t="s">
        <v>129</v>
      </c>
      <c r="E375" s="15" t="s">
        <v>145</v>
      </c>
      <c r="F375" s="15" t="s">
        <v>141</v>
      </c>
      <c r="G375" s="15" t="s">
        <v>75</v>
      </c>
      <c r="H375" s="15" t="s">
        <v>37</v>
      </c>
      <c r="I375" s="15" t="s">
        <v>50</v>
      </c>
    </row>
    <row r="376" spans="1:9" x14ac:dyDescent="0.2">
      <c r="A376" s="14">
        <v>2009</v>
      </c>
      <c r="B376" s="14" t="s">
        <v>157</v>
      </c>
      <c r="C376" s="14" t="s">
        <v>158</v>
      </c>
      <c r="D376" s="15" t="s">
        <v>72</v>
      </c>
      <c r="E376" s="15" t="s">
        <v>75</v>
      </c>
      <c r="F376" s="15" t="s">
        <v>125</v>
      </c>
      <c r="G376" s="15" t="s">
        <v>75</v>
      </c>
      <c r="H376" s="15" t="s">
        <v>37</v>
      </c>
      <c r="I376" s="15" t="s">
        <v>50</v>
      </c>
    </row>
    <row r="377" spans="1:9" x14ac:dyDescent="0.2">
      <c r="A377" s="14">
        <v>2010</v>
      </c>
      <c r="B377" s="14" t="s">
        <v>157</v>
      </c>
      <c r="C377" s="14" t="s">
        <v>158</v>
      </c>
      <c r="D377" s="15" t="s">
        <v>87</v>
      </c>
      <c r="E377" s="15" t="s">
        <v>38</v>
      </c>
      <c r="F377" s="15" t="s">
        <v>54</v>
      </c>
      <c r="G377" s="15" t="s">
        <v>79</v>
      </c>
      <c r="H377" s="15" t="s">
        <v>71</v>
      </c>
      <c r="I377" s="15" t="s">
        <v>48</v>
      </c>
    </row>
    <row r="378" spans="1:9" x14ac:dyDescent="0.2">
      <c r="A378" s="14">
        <v>2011</v>
      </c>
      <c r="B378" s="14" t="s">
        <v>157</v>
      </c>
      <c r="C378" s="14" t="s">
        <v>158</v>
      </c>
      <c r="D378" s="15" t="s">
        <v>88</v>
      </c>
      <c r="E378" s="15" t="s">
        <v>79</v>
      </c>
      <c r="F378" s="15" t="s">
        <v>43</v>
      </c>
      <c r="G378" s="15" t="s">
        <v>46</v>
      </c>
      <c r="H378" s="15" t="s">
        <v>71</v>
      </c>
      <c r="I378" s="15" t="s">
        <v>87</v>
      </c>
    </row>
    <row r="379" spans="1:9" x14ac:dyDescent="0.2">
      <c r="A379" s="14">
        <v>2012</v>
      </c>
      <c r="B379" s="14" t="s">
        <v>157</v>
      </c>
      <c r="C379" s="14" t="s">
        <v>158</v>
      </c>
      <c r="D379" s="15" t="s">
        <v>52</v>
      </c>
      <c r="E379" s="15" t="s">
        <v>36</v>
      </c>
      <c r="F379" s="15" t="s">
        <v>115</v>
      </c>
      <c r="G379" s="15" t="s">
        <v>36</v>
      </c>
      <c r="H379" s="15" t="s">
        <v>78</v>
      </c>
      <c r="I379" s="15" t="s">
        <v>74</v>
      </c>
    </row>
    <row r="380" spans="1:9" x14ac:dyDescent="0.2">
      <c r="A380" s="14">
        <v>2013</v>
      </c>
      <c r="B380" s="14" t="s">
        <v>157</v>
      </c>
      <c r="C380" s="14" t="s">
        <v>158</v>
      </c>
      <c r="D380" s="15" t="s">
        <v>145</v>
      </c>
      <c r="E380" s="15" t="s">
        <v>37</v>
      </c>
      <c r="F380" s="15" t="s">
        <v>50</v>
      </c>
      <c r="G380" s="15" t="s">
        <v>53</v>
      </c>
      <c r="H380" s="15" t="s">
        <v>81</v>
      </c>
      <c r="I380" s="15" t="s">
        <v>52</v>
      </c>
    </row>
    <row r="381" spans="1:9" x14ac:dyDescent="0.2">
      <c r="A381" s="14">
        <v>2014</v>
      </c>
      <c r="B381" s="14" t="s">
        <v>157</v>
      </c>
      <c r="C381" s="14" t="s">
        <v>158</v>
      </c>
      <c r="D381" s="15" t="s">
        <v>38</v>
      </c>
      <c r="E381" s="15" t="s">
        <v>61</v>
      </c>
      <c r="F381" s="15" t="s">
        <v>72</v>
      </c>
      <c r="G381" s="15" t="s">
        <v>113</v>
      </c>
      <c r="H381" s="15" t="s">
        <v>81</v>
      </c>
      <c r="I381" s="15" t="s">
        <v>73</v>
      </c>
    </row>
    <row r="382" spans="1:9" x14ac:dyDescent="0.2">
      <c r="A382" s="14">
        <v>2015</v>
      </c>
      <c r="B382" s="14" t="s">
        <v>157</v>
      </c>
      <c r="C382" s="14" t="s">
        <v>158</v>
      </c>
      <c r="D382" s="15" t="s">
        <v>46</v>
      </c>
      <c r="E382" s="15" t="s">
        <v>49</v>
      </c>
      <c r="F382" s="15" t="s">
        <v>87</v>
      </c>
      <c r="G382" s="15" t="s">
        <v>37</v>
      </c>
      <c r="H382" s="15" t="s">
        <v>51</v>
      </c>
      <c r="I382" s="15" t="s">
        <v>73</v>
      </c>
    </row>
    <row r="383" spans="1:9" x14ac:dyDescent="0.2">
      <c r="A383" s="14">
        <v>2016</v>
      </c>
      <c r="B383" s="14" t="s">
        <v>157</v>
      </c>
      <c r="C383" s="14" t="s">
        <v>158</v>
      </c>
      <c r="D383" s="15" t="s">
        <v>113</v>
      </c>
      <c r="E383" s="15" t="s">
        <v>81</v>
      </c>
      <c r="F383" s="15" t="s">
        <v>73</v>
      </c>
      <c r="G383" s="15" t="s">
        <v>37</v>
      </c>
      <c r="H383" s="15" t="s">
        <v>51</v>
      </c>
      <c r="I383" s="15" t="s">
        <v>73</v>
      </c>
    </row>
    <row r="384" spans="1:9" x14ac:dyDescent="0.2">
      <c r="A384" s="14">
        <v>2017</v>
      </c>
      <c r="B384" s="14" t="s">
        <v>157</v>
      </c>
      <c r="C384" s="14" t="s">
        <v>158</v>
      </c>
      <c r="D384" s="15" t="s">
        <v>49</v>
      </c>
      <c r="E384" s="15" t="s">
        <v>59</v>
      </c>
      <c r="F384" s="15" t="s">
        <v>38</v>
      </c>
      <c r="G384" s="15" t="s">
        <v>71</v>
      </c>
      <c r="H384" s="15" t="s">
        <v>59</v>
      </c>
      <c r="I384" s="15" t="s">
        <v>82</v>
      </c>
    </row>
    <row r="385" spans="1:9" x14ac:dyDescent="0.2">
      <c r="A385" s="14">
        <v>2018</v>
      </c>
      <c r="B385" s="14" t="s">
        <v>157</v>
      </c>
      <c r="C385" s="14" t="s">
        <v>158</v>
      </c>
      <c r="D385" s="15" t="s">
        <v>47</v>
      </c>
      <c r="E385" s="15" t="s">
        <v>60</v>
      </c>
      <c r="F385" s="15" t="s">
        <v>36</v>
      </c>
      <c r="G385" s="15" t="s">
        <v>71</v>
      </c>
      <c r="H385" s="15" t="s">
        <v>59</v>
      </c>
      <c r="I385" s="15" t="s">
        <v>82</v>
      </c>
    </row>
    <row r="386" spans="1:9" x14ac:dyDescent="0.2">
      <c r="A386" s="14">
        <v>2019</v>
      </c>
      <c r="B386" s="14" t="s">
        <v>157</v>
      </c>
      <c r="C386" s="14" t="s">
        <v>158</v>
      </c>
      <c r="D386" s="15" t="s">
        <v>47</v>
      </c>
      <c r="E386" s="15" t="s">
        <v>62</v>
      </c>
      <c r="F386" s="15" t="s">
        <v>36</v>
      </c>
      <c r="G386" s="15" t="s">
        <v>37</v>
      </c>
      <c r="H386" s="15" t="s">
        <v>16</v>
      </c>
      <c r="I386" s="15" t="s">
        <v>73</v>
      </c>
    </row>
    <row r="387" spans="1:9" x14ac:dyDescent="0.2">
      <c r="A387" s="14">
        <v>2020</v>
      </c>
      <c r="B387" s="14" t="s">
        <v>157</v>
      </c>
      <c r="C387" s="14" t="s">
        <v>158</v>
      </c>
      <c r="D387" s="15" t="s">
        <v>16</v>
      </c>
      <c r="E387" s="15" t="s">
        <v>23</v>
      </c>
      <c r="F387" s="15" t="s">
        <v>71</v>
      </c>
      <c r="G387" s="15" t="s">
        <v>49</v>
      </c>
      <c r="H387" s="15" t="s">
        <v>60</v>
      </c>
      <c r="I387" s="15" t="s">
        <v>75</v>
      </c>
    </row>
    <row r="388" spans="1:9" x14ac:dyDescent="0.2">
      <c r="A388" s="14">
        <v>2021</v>
      </c>
      <c r="B388" s="14" t="s">
        <v>157</v>
      </c>
      <c r="C388" s="14" t="s">
        <v>158</v>
      </c>
      <c r="D388" s="15" t="s">
        <v>17</v>
      </c>
      <c r="E388" s="15">
        <v>9400</v>
      </c>
      <c r="F388" s="15" t="s">
        <v>81</v>
      </c>
      <c r="G388" s="15" t="s">
        <v>47</v>
      </c>
      <c r="H388" s="15" t="s">
        <v>23</v>
      </c>
      <c r="I388" s="15" t="s">
        <v>145</v>
      </c>
    </row>
    <row r="389" spans="1:9" x14ac:dyDescent="0.2">
      <c r="A389" s="14">
        <v>2022</v>
      </c>
      <c r="B389" s="14" t="s">
        <v>157</v>
      </c>
      <c r="C389" s="14" t="s">
        <v>158</v>
      </c>
      <c r="D389" s="15" t="s">
        <v>24</v>
      </c>
      <c r="E389" s="15">
        <v>7400</v>
      </c>
      <c r="F389" s="15" t="s">
        <v>16</v>
      </c>
      <c r="G389" s="15" t="s">
        <v>81</v>
      </c>
      <c r="H389" s="15" t="s">
        <v>24</v>
      </c>
      <c r="I389" s="15" t="s">
        <v>145</v>
      </c>
    </row>
    <row r="390" spans="1:9" x14ac:dyDescent="0.2">
      <c r="A390" s="14">
        <v>2023</v>
      </c>
      <c r="B390" s="14" t="s">
        <v>157</v>
      </c>
      <c r="C390" s="14" t="s">
        <v>158</v>
      </c>
      <c r="D390" s="15" t="s">
        <v>22</v>
      </c>
      <c r="E390" s="15">
        <v>7300</v>
      </c>
      <c r="F390" s="15" t="s">
        <v>62</v>
      </c>
      <c r="G390" s="15" t="s">
        <v>16</v>
      </c>
      <c r="H390" s="15">
        <v>9100</v>
      </c>
      <c r="I390" s="15" t="s">
        <v>75</v>
      </c>
    </row>
    <row r="391" spans="1:9" x14ac:dyDescent="0.2">
      <c r="A391" s="14">
        <v>2024</v>
      </c>
      <c r="B391" s="14" t="s">
        <v>157</v>
      </c>
      <c r="C391" s="14" t="s">
        <v>158</v>
      </c>
      <c r="D391" s="15">
        <v>8900</v>
      </c>
      <c r="E391" s="15">
        <v>6300</v>
      </c>
      <c r="F391" s="15" t="s">
        <v>17</v>
      </c>
      <c r="G391" s="15" t="s">
        <v>59</v>
      </c>
      <c r="H391" s="15">
        <v>8300</v>
      </c>
      <c r="I391" s="15" t="s">
        <v>38</v>
      </c>
    </row>
    <row r="392" spans="1:9" x14ac:dyDescent="0.2">
      <c r="A392" s="14">
        <v>1990</v>
      </c>
      <c r="B392" s="14" t="s">
        <v>162</v>
      </c>
      <c r="C392" s="14" t="s">
        <v>163</v>
      </c>
      <c r="D392" s="15" t="s">
        <v>33</v>
      </c>
      <c r="E392" s="15" t="s">
        <v>33</v>
      </c>
      <c r="F392" s="15" t="s">
        <v>33</v>
      </c>
      <c r="G392" s="15" t="s">
        <v>33</v>
      </c>
      <c r="H392" s="15" t="s">
        <v>33</v>
      </c>
      <c r="I392" s="15" t="s">
        <v>33</v>
      </c>
    </row>
    <row r="393" spans="1:9" x14ac:dyDescent="0.2">
      <c r="A393" s="14">
        <v>1991</v>
      </c>
      <c r="B393" s="14" t="s">
        <v>162</v>
      </c>
      <c r="C393" s="14" t="s">
        <v>163</v>
      </c>
      <c r="D393" s="15" t="s">
        <v>33</v>
      </c>
      <c r="E393" s="15" t="s">
        <v>33</v>
      </c>
      <c r="F393" s="15" t="s">
        <v>33</v>
      </c>
      <c r="G393" s="15" t="s">
        <v>33</v>
      </c>
      <c r="H393" s="15" t="s">
        <v>33</v>
      </c>
      <c r="I393" s="15" t="s">
        <v>33</v>
      </c>
    </row>
    <row r="394" spans="1:9" x14ac:dyDescent="0.2">
      <c r="A394" s="14">
        <v>1992</v>
      </c>
      <c r="B394" s="14" t="s">
        <v>162</v>
      </c>
      <c r="C394" s="14" t="s">
        <v>163</v>
      </c>
      <c r="D394" s="15" t="s">
        <v>33</v>
      </c>
      <c r="E394" s="15" t="s">
        <v>33</v>
      </c>
      <c r="F394" s="15" t="s">
        <v>33</v>
      </c>
      <c r="G394" s="15" t="s">
        <v>33</v>
      </c>
      <c r="H394" s="15" t="s">
        <v>33</v>
      </c>
      <c r="I394" s="15" t="s">
        <v>33</v>
      </c>
    </row>
    <row r="395" spans="1:9" x14ac:dyDescent="0.2">
      <c r="A395" s="14">
        <v>1993</v>
      </c>
      <c r="B395" s="14" t="s">
        <v>162</v>
      </c>
      <c r="C395" s="14" t="s">
        <v>163</v>
      </c>
      <c r="D395" s="15" t="s">
        <v>33</v>
      </c>
      <c r="E395" s="15" t="s">
        <v>33</v>
      </c>
      <c r="F395" s="15" t="s">
        <v>33</v>
      </c>
      <c r="G395" s="15" t="s">
        <v>33</v>
      </c>
      <c r="H395" s="15" t="s">
        <v>33</v>
      </c>
      <c r="I395" s="15" t="s">
        <v>33</v>
      </c>
    </row>
    <row r="396" spans="1:9" x14ac:dyDescent="0.2">
      <c r="A396" s="14">
        <v>1994</v>
      </c>
      <c r="B396" s="14" t="s">
        <v>162</v>
      </c>
      <c r="C396" s="14" t="s">
        <v>163</v>
      </c>
      <c r="D396" s="15" t="s">
        <v>33</v>
      </c>
      <c r="E396" s="15" t="s">
        <v>33</v>
      </c>
      <c r="F396" s="15" t="s">
        <v>33</v>
      </c>
      <c r="G396" s="15" t="s">
        <v>33</v>
      </c>
      <c r="H396" s="15" t="s">
        <v>33</v>
      </c>
      <c r="I396" s="15" t="s">
        <v>33</v>
      </c>
    </row>
    <row r="397" spans="1:9" x14ac:dyDescent="0.2">
      <c r="A397" s="14">
        <v>1995</v>
      </c>
      <c r="B397" s="14" t="s">
        <v>162</v>
      </c>
      <c r="C397" s="14" t="s">
        <v>163</v>
      </c>
      <c r="D397" s="15" t="s">
        <v>33</v>
      </c>
      <c r="E397" s="15" t="s">
        <v>33</v>
      </c>
      <c r="F397" s="15" t="s">
        <v>33</v>
      </c>
      <c r="G397" s="15" t="s">
        <v>33</v>
      </c>
      <c r="H397" s="15" t="s">
        <v>33</v>
      </c>
      <c r="I397" s="15" t="s">
        <v>33</v>
      </c>
    </row>
    <row r="398" spans="1:9" x14ac:dyDescent="0.2">
      <c r="A398" s="14">
        <v>1996</v>
      </c>
      <c r="B398" s="14" t="s">
        <v>162</v>
      </c>
      <c r="C398" s="14" t="s">
        <v>163</v>
      </c>
      <c r="D398" s="15" t="s">
        <v>33</v>
      </c>
      <c r="E398" s="15" t="s">
        <v>33</v>
      </c>
      <c r="F398" s="15" t="s">
        <v>33</v>
      </c>
      <c r="G398" s="15" t="s">
        <v>33</v>
      </c>
      <c r="H398" s="15" t="s">
        <v>33</v>
      </c>
      <c r="I398" s="15" t="s">
        <v>33</v>
      </c>
    </row>
    <row r="399" spans="1:9" x14ac:dyDescent="0.2">
      <c r="A399" s="14">
        <v>1997</v>
      </c>
      <c r="B399" s="14" t="s">
        <v>162</v>
      </c>
      <c r="C399" s="14" t="s">
        <v>163</v>
      </c>
      <c r="D399" s="15" t="s">
        <v>33</v>
      </c>
      <c r="E399" s="15" t="s">
        <v>33</v>
      </c>
      <c r="F399" s="15" t="s">
        <v>33</v>
      </c>
      <c r="G399" s="15" t="s">
        <v>33</v>
      </c>
      <c r="H399" s="15" t="s">
        <v>33</v>
      </c>
      <c r="I399" s="15" t="s">
        <v>33</v>
      </c>
    </row>
    <row r="400" spans="1:9" x14ac:dyDescent="0.2">
      <c r="A400" s="14">
        <v>1998</v>
      </c>
      <c r="B400" s="14" t="s">
        <v>162</v>
      </c>
      <c r="C400" s="14" t="s">
        <v>163</v>
      </c>
      <c r="D400" s="15" t="s">
        <v>33</v>
      </c>
      <c r="E400" s="15" t="s">
        <v>33</v>
      </c>
      <c r="F400" s="15" t="s">
        <v>33</v>
      </c>
      <c r="G400" s="15" t="s">
        <v>33</v>
      </c>
      <c r="H400" s="15" t="s">
        <v>33</v>
      </c>
      <c r="I400" s="15" t="s">
        <v>33</v>
      </c>
    </row>
    <row r="401" spans="1:9" x14ac:dyDescent="0.2">
      <c r="A401" s="14">
        <v>1999</v>
      </c>
      <c r="B401" s="14" t="s">
        <v>162</v>
      </c>
      <c r="C401" s="14" t="s">
        <v>163</v>
      </c>
      <c r="D401" s="15" t="s">
        <v>33</v>
      </c>
      <c r="E401" s="15" t="s">
        <v>33</v>
      </c>
      <c r="F401" s="15" t="s">
        <v>33</v>
      </c>
      <c r="G401" s="15" t="s">
        <v>33</v>
      </c>
      <c r="H401" s="15" t="s">
        <v>33</v>
      </c>
      <c r="I401" s="15" t="s">
        <v>33</v>
      </c>
    </row>
    <row r="402" spans="1:9" x14ac:dyDescent="0.2">
      <c r="A402" s="14">
        <v>2000</v>
      </c>
      <c r="B402" s="14" t="s">
        <v>162</v>
      </c>
      <c r="C402" s="14" t="s">
        <v>163</v>
      </c>
      <c r="D402" s="15" t="s">
        <v>33</v>
      </c>
      <c r="E402" s="15" t="s">
        <v>33</v>
      </c>
      <c r="F402" s="15" t="s">
        <v>33</v>
      </c>
      <c r="G402" s="15" t="s">
        <v>33</v>
      </c>
      <c r="H402" s="15" t="s">
        <v>33</v>
      </c>
      <c r="I402" s="15" t="s">
        <v>33</v>
      </c>
    </row>
    <row r="403" spans="1:9" x14ac:dyDescent="0.2">
      <c r="A403" s="14">
        <v>2001</v>
      </c>
      <c r="B403" s="14" t="s">
        <v>162</v>
      </c>
      <c r="C403" s="14" t="s">
        <v>163</v>
      </c>
      <c r="D403" s="15" t="s">
        <v>33</v>
      </c>
      <c r="E403" s="15" t="s">
        <v>33</v>
      </c>
      <c r="F403" s="15" t="s">
        <v>33</v>
      </c>
      <c r="G403" s="15" t="s">
        <v>33</v>
      </c>
      <c r="H403" s="15" t="s">
        <v>33</v>
      </c>
      <c r="I403" s="15" t="s">
        <v>33</v>
      </c>
    </row>
    <row r="404" spans="1:9" x14ac:dyDescent="0.2">
      <c r="A404" s="14">
        <v>2002</v>
      </c>
      <c r="B404" s="14" t="s">
        <v>162</v>
      </c>
      <c r="C404" s="14" t="s">
        <v>163</v>
      </c>
      <c r="D404" s="15" t="s">
        <v>33</v>
      </c>
      <c r="E404" s="15" t="s">
        <v>33</v>
      </c>
      <c r="F404" s="15" t="s">
        <v>33</v>
      </c>
      <c r="G404" s="15" t="s">
        <v>33</v>
      </c>
      <c r="H404" s="15" t="s">
        <v>33</v>
      </c>
      <c r="I404" s="15" t="s">
        <v>33</v>
      </c>
    </row>
    <row r="405" spans="1:9" x14ac:dyDescent="0.2">
      <c r="A405" s="14">
        <v>2003</v>
      </c>
      <c r="B405" s="14" t="s">
        <v>162</v>
      </c>
      <c r="C405" s="14" t="s">
        <v>163</v>
      </c>
      <c r="D405" s="15" t="s">
        <v>33</v>
      </c>
      <c r="E405" s="15" t="s">
        <v>33</v>
      </c>
      <c r="F405" s="15" t="s">
        <v>33</v>
      </c>
      <c r="G405" s="15" t="s">
        <v>33</v>
      </c>
      <c r="H405" s="15" t="s">
        <v>33</v>
      </c>
      <c r="I405" s="15" t="s">
        <v>33</v>
      </c>
    </row>
    <row r="406" spans="1:9" x14ac:dyDescent="0.2">
      <c r="A406" s="14">
        <v>2004</v>
      </c>
      <c r="B406" s="14" t="s">
        <v>162</v>
      </c>
      <c r="C406" s="14" t="s">
        <v>163</v>
      </c>
      <c r="D406" s="15" t="s">
        <v>33</v>
      </c>
      <c r="E406" s="15" t="s">
        <v>33</v>
      </c>
      <c r="F406" s="15" t="s">
        <v>33</v>
      </c>
      <c r="G406" s="15" t="s">
        <v>33</v>
      </c>
      <c r="H406" s="15" t="s">
        <v>33</v>
      </c>
      <c r="I406" s="15" t="s">
        <v>33</v>
      </c>
    </row>
    <row r="407" spans="1:9" x14ac:dyDescent="0.2">
      <c r="A407" s="14">
        <v>2005</v>
      </c>
      <c r="B407" s="14" t="s">
        <v>162</v>
      </c>
      <c r="C407" s="14" t="s">
        <v>163</v>
      </c>
      <c r="D407" s="15" t="s">
        <v>33</v>
      </c>
      <c r="E407" s="15" t="s">
        <v>33</v>
      </c>
      <c r="F407" s="15" t="s">
        <v>33</v>
      </c>
      <c r="G407" s="15" t="s">
        <v>33</v>
      </c>
      <c r="H407" s="15" t="s">
        <v>33</v>
      </c>
      <c r="I407" s="15" t="s">
        <v>33</v>
      </c>
    </row>
    <row r="408" spans="1:9" x14ac:dyDescent="0.2">
      <c r="A408" s="14">
        <v>2006</v>
      </c>
      <c r="B408" s="14" t="s">
        <v>162</v>
      </c>
      <c r="C408" s="14" t="s">
        <v>163</v>
      </c>
      <c r="D408" s="15" t="s">
        <v>33</v>
      </c>
      <c r="E408" s="15" t="s">
        <v>33</v>
      </c>
      <c r="F408" s="15" t="s">
        <v>33</v>
      </c>
      <c r="G408" s="15" t="s">
        <v>33</v>
      </c>
      <c r="H408" s="15" t="s">
        <v>33</v>
      </c>
      <c r="I408" s="15" t="s">
        <v>33</v>
      </c>
    </row>
    <row r="409" spans="1:9" x14ac:dyDescent="0.2">
      <c r="A409" s="14">
        <v>2007</v>
      </c>
      <c r="B409" s="14" t="s">
        <v>162</v>
      </c>
      <c r="C409" s="14" t="s">
        <v>163</v>
      </c>
      <c r="D409" s="15" t="s">
        <v>33</v>
      </c>
      <c r="E409" s="15" t="s">
        <v>33</v>
      </c>
      <c r="F409" s="15" t="s">
        <v>33</v>
      </c>
      <c r="G409" s="15" t="s">
        <v>33</v>
      </c>
      <c r="H409" s="15" t="s">
        <v>33</v>
      </c>
      <c r="I409" s="15" t="s">
        <v>33</v>
      </c>
    </row>
    <row r="410" spans="1:9" x14ac:dyDescent="0.2">
      <c r="A410" s="14">
        <v>2008</v>
      </c>
      <c r="B410" s="14" t="s">
        <v>162</v>
      </c>
      <c r="C410" s="14" t="s">
        <v>163</v>
      </c>
      <c r="D410" s="15" t="s">
        <v>33</v>
      </c>
      <c r="E410" s="15" t="s">
        <v>33</v>
      </c>
      <c r="F410" s="15" t="s">
        <v>33</v>
      </c>
      <c r="G410" s="15" t="s">
        <v>33</v>
      </c>
      <c r="H410" s="15" t="s">
        <v>33</v>
      </c>
      <c r="I410" s="15" t="s">
        <v>33</v>
      </c>
    </row>
    <row r="411" spans="1:9" x14ac:dyDescent="0.2">
      <c r="A411" s="14">
        <v>2009</v>
      </c>
      <c r="B411" s="14" t="s">
        <v>162</v>
      </c>
      <c r="C411" s="14" t="s">
        <v>163</v>
      </c>
      <c r="D411" s="15" t="s">
        <v>33</v>
      </c>
      <c r="E411" s="15" t="s">
        <v>33</v>
      </c>
      <c r="F411" s="15" t="s">
        <v>33</v>
      </c>
      <c r="G411" s="15" t="s">
        <v>33</v>
      </c>
      <c r="H411" s="15" t="s">
        <v>33</v>
      </c>
      <c r="I411" s="15" t="s">
        <v>33</v>
      </c>
    </row>
    <row r="412" spans="1:9" x14ac:dyDescent="0.2">
      <c r="A412" s="14">
        <v>2010</v>
      </c>
      <c r="B412" s="14" t="s">
        <v>162</v>
      </c>
      <c r="C412" s="14" t="s">
        <v>163</v>
      </c>
      <c r="D412" s="15" t="s">
        <v>33</v>
      </c>
      <c r="E412" s="15" t="s">
        <v>33</v>
      </c>
      <c r="F412" s="15" t="s">
        <v>33</v>
      </c>
      <c r="G412" s="15" t="s">
        <v>33</v>
      </c>
      <c r="H412" s="15" t="s">
        <v>33</v>
      </c>
      <c r="I412" s="15" t="s">
        <v>33</v>
      </c>
    </row>
    <row r="413" spans="1:9" x14ac:dyDescent="0.2">
      <c r="A413" s="14">
        <v>2011</v>
      </c>
      <c r="B413" s="14" t="s">
        <v>162</v>
      </c>
      <c r="C413" s="14" t="s">
        <v>163</v>
      </c>
      <c r="D413" s="15" t="s">
        <v>33</v>
      </c>
      <c r="E413" s="15" t="s">
        <v>33</v>
      </c>
      <c r="F413" s="15" t="s">
        <v>33</v>
      </c>
      <c r="G413" s="15" t="s">
        <v>33</v>
      </c>
      <c r="H413" s="15" t="s">
        <v>33</v>
      </c>
      <c r="I413" s="15" t="s">
        <v>33</v>
      </c>
    </row>
    <row r="414" spans="1:9" x14ac:dyDescent="0.2">
      <c r="A414" s="14">
        <v>2012</v>
      </c>
      <c r="B414" s="14" t="s">
        <v>162</v>
      </c>
      <c r="C414" s="14" t="s">
        <v>163</v>
      </c>
      <c r="D414" s="15" t="s">
        <v>33</v>
      </c>
      <c r="E414" s="15" t="s">
        <v>33</v>
      </c>
      <c r="F414" s="15" t="s">
        <v>33</v>
      </c>
      <c r="G414" s="15" t="s">
        <v>33</v>
      </c>
      <c r="H414" s="15" t="s">
        <v>33</v>
      </c>
      <c r="I414" s="15" t="s">
        <v>33</v>
      </c>
    </row>
    <row r="415" spans="1:9" x14ac:dyDescent="0.2">
      <c r="A415" s="14">
        <v>2013</v>
      </c>
      <c r="B415" s="14" t="s">
        <v>162</v>
      </c>
      <c r="C415" s="14" t="s">
        <v>163</v>
      </c>
      <c r="D415" s="15" t="s">
        <v>33</v>
      </c>
      <c r="E415" s="15" t="s">
        <v>33</v>
      </c>
      <c r="F415" s="15" t="s">
        <v>33</v>
      </c>
      <c r="G415" s="15" t="s">
        <v>33</v>
      </c>
      <c r="H415" s="15" t="s">
        <v>33</v>
      </c>
      <c r="I415" s="15" t="s">
        <v>33</v>
      </c>
    </row>
    <row r="416" spans="1:9" x14ac:dyDescent="0.2">
      <c r="A416" s="14">
        <v>2014</v>
      </c>
      <c r="B416" s="14" t="s">
        <v>162</v>
      </c>
      <c r="C416" s="14" t="s">
        <v>163</v>
      </c>
      <c r="D416" s="15" t="s">
        <v>33</v>
      </c>
      <c r="E416" s="15" t="s">
        <v>33</v>
      </c>
      <c r="F416" s="15" t="s">
        <v>33</v>
      </c>
      <c r="G416" s="15" t="s">
        <v>33</v>
      </c>
      <c r="H416" s="15" t="s">
        <v>33</v>
      </c>
      <c r="I416" s="15" t="s">
        <v>33</v>
      </c>
    </row>
    <row r="417" spans="1:9" x14ac:dyDescent="0.2">
      <c r="A417" s="14">
        <v>2015</v>
      </c>
      <c r="B417" s="14" t="s">
        <v>162</v>
      </c>
      <c r="C417" s="14" t="s">
        <v>163</v>
      </c>
      <c r="D417" s="15" t="s">
        <v>33</v>
      </c>
      <c r="E417" s="15" t="s">
        <v>33</v>
      </c>
      <c r="F417" s="15" t="s">
        <v>33</v>
      </c>
      <c r="G417" s="15" t="s">
        <v>33</v>
      </c>
      <c r="H417" s="15" t="s">
        <v>33</v>
      </c>
      <c r="I417" s="15" t="s">
        <v>33</v>
      </c>
    </row>
    <row r="418" spans="1:9" x14ac:dyDescent="0.2">
      <c r="A418" s="14">
        <v>2016</v>
      </c>
      <c r="B418" s="14" t="s">
        <v>162</v>
      </c>
      <c r="C418" s="14" t="s">
        <v>163</v>
      </c>
      <c r="D418" s="15" t="s">
        <v>33</v>
      </c>
      <c r="E418" s="15" t="s">
        <v>33</v>
      </c>
      <c r="F418" s="15" t="s">
        <v>33</v>
      </c>
      <c r="G418" s="15" t="s">
        <v>33</v>
      </c>
      <c r="H418" s="15" t="s">
        <v>33</v>
      </c>
      <c r="I418" s="15" t="s">
        <v>33</v>
      </c>
    </row>
    <row r="419" spans="1:9" x14ac:dyDescent="0.2">
      <c r="A419" s="14">
        <v>2017</v>
      </c>
      <c r="B419" s="14" t="s">
        <v>162</v>
      </c>
      <c r="C419" s="14" t="s">
        <v>163</v>
      </c>
      <c r="D419" s="15" t="s">
        <v>33</v>
      </c>
      <c r="E419" s="15" t="s">
        <v>33</v>
      </c>
      <c r="F419" s="15" t="s">
        <v>33</v>
      </c>
      <c r="G419" s="15" t="s">
        <v>33</v>
      </c>
      <c r="H419" s="15" t="s">
        <v>33</v>
      </c>
      <c r="I419" s="15" t="s">
        <v>33</v>
      </c>
    </row>
    <row r="420" spans="1:9" x14ac:dyDescent="0.2">
      <c r="A420" s="14">
        <v>2018</v>
      </c>
      <c r="B420" s="14" t="s">
        <v>162</v>
      </c>
      <c r="C420" s="14" t="s">
        <v>163</v>
      </c>
      <c r="D420" s="15" t="s">
        <v>33</v>
      </c>
      <c r="E420" s="15" t="s">
        <v>33</v>
      </c>
      <c r="F420" s="15" t="s">
        <v>33</v>
      </c>
      <c r="G420" s="15" t="s">
        <v>33</v>
      </c>
      <c r="H420" s="15" t="s">
        <v>33</v>
      </c>
      <c r="I420" s="15" t="s">
        <v>33</v>
      </c>
    </row>
    <row r="421" spans="1:9" x14ac:dyDescent="0.2">
      <c r="A421" s="14">
        <v>2019</v>
      </c>
      <c r="B421" s="14" t="s">
        <v>162</v>
      </c>
      <c r="C421" s="14" t="s">
        <v>163</v>
      </c>
      <c r="D421" s="15" t="s">
        <v>33</v>
      </c>
      <c r="E421" s="15" t="s">
        <v>33</v>
      </c>
      <c r="F421" s="15" t="s">
        <v>33</v>
      </c>
      <c r="G421" s="15" t="s">
        <v>33</v>
      </c>
      <c r="H421" s="15" t="s">
        <v>33</v>
      </c>
      <c r="I421" s="15" t="s">
        <v>33</v>
      </c>
    </row>
    <row r="422" spans="1:9" x14ac:dyDescent="0.2">
      <c r="A422" s="14">
        <v>2020</v>
      </c>
      <c r="B422" s="14" t="s">
        <v>162</v>
      </c>
      <c r="C422" s="14" t="s">
        <v>163</v>
      </c>
      <c r="D422" s="15" t="s">
        <v>33</v>
      </c>
      <c r="E422" s="15" t="s">
        <v>33</v>
      </c>
      <c r="F422" s="15" t="s">
        <v>33</v>
      </c>
      <c r="G422" s="15" t="s">
        <v>33</v>
      </c>
      <c r="H422" s="15" t="s">
        <v>33</v>
      </c>
      <c r="I422" s="15" t="s">
        <v>33</v>
      </c>
    </row>
    <row r="423" spans="1:9" x14ac:dyDescent="0.2">
      <c r="A423" s="14">
        <v>2021</v>
      </c>
      <c r="B423" s="14" t="s">
        <v>162</v>
      </c>
      <c r="C423" s="14" t="s">
        <v>163</v>
      </c>
      <c r="D423" s="15" t="s">
        <v>33</v>
      </c>
      <c r="E423" s="15" t="s">
        <v>33</v>
      </c>
      <c r="F423" s="15" t="s">
        <v>33</v>
      </c>
      <c r="G423" s="15" t="s">
        <v>33</v>
      </c>
      <c r="H423" s="15" t="s">
        <v>33</v>
      </c>
      <c r="I423" s="15" t="s">
        <v>33</v>
      </c>
    </row>
    <row r="424" spans="1:9" x14ac:dyDescent="0.2">
      <c r="A424" s="14">
        <v>2022</v>
      </c>
      <c r="B424" s="14" t="s">
        <v>162</v>
      </c>
      <c r="C424" s="14" t="s">
        <v>163</v>
      </c>
      <c r="D424" s="15" t="s">
        <v>33</v>
      </c>
      <c r="E424" s="15" t="s">
        <v>33</v>
      </c>
      <c r="F424" s="15" t="s">
        <v>33</v>
      </c>
      <c r="G424" s="15" t="s">
        <v>33</v>
      </c>
      <c r="H424" s="15" t="s">
        <v>33</v>
      </c>
      <c r="I424" s="15" t="s">
        <v>33</v>
      </c>
    </row>
    <row r="425" spans="1:9" x14ac:dyDescent="0.2">
      <c r="A425" s="14">
        <v>2023</v>
      </c>
      <c r="B425" s="14" t="s">
        <v>162</v>
      </c>
      <c r="C425" s="14" t="s">
        <v>163</v>
      </c>
      <c r="D425" s="15" t="s">
        <v>33</v>
      </c>
      <c r="E425" s="15" t="s">
        <v>33</v>
      </c>
      <c r="F425" s="15" t="s">
        <v>33</v>
      </c>
      <c r="G425" s="15" t="s">
        <v>33</v>
      </c>
      <c r="H425" s="15" t="s">
        <v>33</v>
      </c>
      <c r="I425" s="15" t="s">
        <v>33</v>
      </c>
    </row>
    <row r="426" spans="1:9" x14ac:dyDescent="0.2">
      <c r="A426" s="14">
        <v>2024</v>
      </c>
      <c r="B426" s="14" t="s">
        <v>162</v>
      </c>
      <c r="C426" s="14" t="s">
        <v>163</v>
      </c>
      <c r="D426" s="15" t="s">
        <v>33</v>
      </c>
      <c r="E426" s="15" t="s">
        <v>33</v>
      </c>
      <c r="F426" s="15" t="s">
        <v>33</v>
      </c>
      <c r="G426" s="15" t="s">
        <v>33</v>
      </c>
      <c r="H426" s="15" t="s">
        <v>33</v>
      </c>
      <c r="I426" s="15" t="s">
        <v>33</v>
      </c>
    </row>
    <row r="427" spans="1:9" x14ac:dyDescent="0.2">
      <c r="A427" s="14">
        <v>1990</v>
      </c>
      <c r="B427" s="14" t="s">
        <v>164</v>
      </c>
      <c r="C427" s="14" t="s">
        <v>165</v>
      </c>
      <c r="D427" s="15" t="s">
        <v>31</v>
      </c>
      <c r="E427" s="15" t="s">
        <v>30</v>
      </c>
      <c r="F427" s="15" t="s">
        <v>32</v>
      </c>
      <c r="G427" s="15">
        <v>1800</v>
      </c>
      <c r="H427" s="15">
        <v>980</v>
      </c>
      <c r="I427" s="15">
        <v>3100</v>
      </c>
    </row>
    <row r="428" spans="1:9" x14ac:dyDescent="0.2">
      <c r="A428" s="14">
        <v>1991</v>
      </c>
      <c r="B428" s="14" t="s">
        <v>164</v>
      </c>
      <c r="C428" s="14" t="s">
        <v>165</v>
      </c>
      <c r="D428" s="15" t="s">
        <v>32</v>
      </c>
      <c r="E428" s="15" t="s">
        <v>31</v>
      </c>
      <c r="F428" s="15" t="s">
        <v>32</v>
      </c>
      <c r="G428" s="15">
        <v>2300</v>
      </c>
      <c r="H428" s="15">
        <v>1300</v>
      </c>
      <c r="I428" s="15">
        <v>3800</v>
      </c>
    </row>
    <row r="429" spans="1:9" x14ac:dyDescent="0.2">
      <c r="A429" s="14">
        <v>1992</v>
      </c>
      <c r="B429" s="14" t="s">
        <v>164</v>
      </c>
      <c r="C429" s="14" t="s">
        <v>165</v>
      </c>
      <c r="D429" s="15" t="s">
        <v>32</v>
      </c>
      <c r="E429" s="15" t="s">
        <v>31</v>
      </c>
      <c r="F429" s="15">
        <v>600</v>
      </c>
      <c r="G429" s="15">
        <v>2800</v>
      </c>
      <c r="H429" s="15">
        <v>1600</v>
      </c>
      <c r="I429" s="15">
        <v>4500</v>
      </c>
    </row>
    <row r="430" spans="1:9" x14ac:dyDescent="0.2">
      <c r="A430" s="14">
        <v>1993</v>
      </c>
      <c r="B430" s="14" t="s">
        <v>164</v>
      </c>
      <c r="C430" s="14" t="s">
        <v>165</v>
      </c>
      <c r="D430" s="15" t="s">
        <v>32</v>
      </c>
      <c r="E430" s="15" t="s">
        <v>32</v>
      </c>
      <c r="F430" s="15">
        <v>770</v>
      </c>
      <c r="G430" s="15">
        <v>3200</v>
      </c>
      <c r="H430" s="15">
        <v>2000</v>
      </c>
      <c r="I430" s="15">
        <v>5200</v>
      </c>
    </row>
    <row r="431" spans="1:9" x14ac:dyDescent="0.2">
      <c r="A431" s="14">
        <v>1994</v>
      </c>
      <c r="B431" s="14" t="s">
        <v>164</v>
      </c>
      <c r="C431" s="14" t="s">
        <v>165</v>
      </c>
      <c r="D431" s="15">
        <v>550</v>
      </c>
      <c r="E431" s="15" t="s">
        <v>32</v>
      </c>
      <c r="F431" s="15">
        <v>950</v>
      </c>
      <c r="G431" s="15">
        <v>3700</v>
      </c>
      <c r="H431" s="15">
        <v>2400</v>
      </c>
      <c r="I431" s="15">
        <v>6000</v>
      </c>
    </row>
    <row r="432" spans="1:9" x14ac:dyDescent="0.2">
      <c r="A432" s="14">
        <v>1995</v>
      </c>
      <c r="B432" s="14" t="s">
        <v>164</v>
      </c>
      <c r="C432" s="14" t="s">
        <v>165</v>
      </c>
      <c r="D432" s="15">
        <v>700</v>
      </c>
      <c r="E432" s="15" t="s">
        <v>32</v>
      </c>
      <c r="F432" s="15">
        <v>1200</v>
      </c>
      <c r="G432" s="15">
        <v>4200</v>
      </c>
      <c r="H432" s="15">
        <v>2700</v>
      </c>
      <c r="I432" s="15">
        <v>6500</v>
      </c>
    </row>
    <row r="433" spans="1:9" x14ac:dyDescent="0.2">
      <c r="A433" s="14">
        <v>1996</v>
      </c>
      <c r="B433" s="14" t="s">
        <v>164</v>
      </c>
      <c r="C433" s="14" t="s">
        <v>165</v>
      </c>
      <c r="D433" s="15">
        <v>870</v>
      </c>
      <c r="E433" s="15">
        <v>540</v>
      </c>
      <c r="F433" s="15">
        <v>1400</v>
      </c>
      <c r="G433" s="15">
        <v>4200</v>
      </c>
      <c r="H433" s="15">
        <v>2800</v>
      </c>
      <c r="I433" s="15">
        <v>6200</v>
      </c>
    </row>
    <row r="434" spans="1:9" x14ac:dyDescent="0.2">
      <c r="A434" s="14">
        <v>1997</v>
      </c>
      <c r="B434" s="14" t="s">
        <v>164</v>
      </c>
      <c r="C434" s="14" t="s">
        <v>165</v>
      </c>
      <c r="D434" s="15">
        <v>1100</v>
      </c>
      <c r="E434" s="15">
        <v>670</v>
      </c>
      <c r="F434" s="15">
        <v>1700</v>
      </c>
      <c r="G434" s="15">
        <v>4200</v>
      </c>
      <c r="H434" s="15">
        <v>2900</v>
      </c>
      <c r="I434" s="15">
        <v>6100</v>
      </c>
    </row>
    <row r="435" spans="1:9" x14ac:dyDescent="0.2">
      <c r="A435" s="14">
        <v>1998</v>
      </c>
      <c r="B435" s="14" t="s">
        <v>164</v>
      </c>
      <c r="C435" s="14" t="s">
        <v>165</v>
      </c>
      <c r="D435" s="15">
        <v>1300</v>
      </c>
      <c r="E435" s="15">
        <v>810</v>
      </c>
      <c r="F435" s="15">
        <v>2000</v>
      </c>
      <c r="G435" s="15">
        <v>4000</v>
      </c>
      <c r="H435" s="15">
        <v>2800</v>
      </c>
      <c r="I435" s="15">
        <v>5700</v>
      </c>
    </row>
    <row r="436" spans="1:9" x14ac:dyDescent="0.2">
      <c r="A436" s="14">
        <v>1999</v>
      </c>
      <c r="B436" s="14" t="s">
        <v>164</v>
      </c>
      <c r="C436" s="14" t="s">
        <v>165</v>
      </c>
      <c r="D436" s="15">
        <v>1500</v>
      </c>
      <c r="E436" s="15">
        <v>960</v>
      </c>
      <c r="F436" s="15">
        <v>2300</v>
      </c>
      <c r="G436" s="15">
        <v>3700</v>
      </c>
      <c r="H436" s="15">
        <v>2700</v>
      </c>
      <c r="I436" s="15">
        <v>5000</v>
      </c>
    </row>
    <row r="437" spans="1:9" x14ac:dyDescent="0.2">
      <c r="A437" s="14">
        <v>2000</v>
      </c>
      <c r="B437" s="14" t="s">
        <v>164</v>
      </c>
      <c r="C437" s="14" t="s">
        <v>165</v>
      </c>
      <c r="D437" s="15">
        <v>1700</v>
      </c>
      <c r="E437" s="15">
        <v>1100</v>
      </c>
      <c r="F437" s="15">
        <v>2600</v>
      </c>
      <c r="G437" s="15">
        <v>3400</v>
      </c>
      <c r="H437" s="15">
        <v>2600</v>
      </c>
      <c r="I437" s="15">
        <v>4500</v>
      </c>
    </row>
    <row r="438" spans="1:9" x14ac:dyDescent="0.2">
      <c r="A438" s="14">
        <v>2001</v>
      </c>
      <c r="B438" s="14" t="s">
        <v>164</v>
      </c>
      <c r="C438" s="14" t="s">
        <v>165</v>
      </c>
      <c r="D438" s="15">
        <v>1900</v>
      </c>
      <c r="E438" s="15">
        <v>1300</v>
      </c>
      <c r="F438" s="15">
        <v>2900</v>
      </c>
      <c r="G438" s="15">
        <v>3300</v>
      </c>
      <c r="H438" s="15">
        <v>2500</v>
      </c>
      <c r="I438" s="15">
        <v>4100</v>
      </c>
    </row>
    <row r="439" spans="1:9" x14ac:dyDescent="0.2">
      <c r="A439" s="14">
        <v>2002</v>
      </c>
      <c r="B439" s="14" t="s">
        <v>164</v>
      </c>
      <c r="C439" s="14" t="s">
        <v>165</v>
      </c>
      <c r="D439" s="15">
        <v>2000</v>
      </c>
      <c r="E439" s="15">
        <v>1400</v>
      </c>
      <c r="F439" s="15">
        <v>3000</v>
      </c>
      <c r="G439" s="15">
        <v>3200</v>
      </c>
      <c r="H439" s="15">
        <v>2500</v>
      </c>
      <c r="I439" s="15">
        <v>3900</v>
      </c>
    </row>
    <row r="440" spans="1:9" x14ac:dyDescent="0.2">
      <c r="A440" s="14">
        <v>2003</v>
      </c>
      <c r="B440" s="14" t="s">
        <v>164</v>
      </c>
      <c r="C440" s="14" t="s">
        <v>165</v>
      </c>
      <c r="D440" s="15">
        <v>2200</v>
      </c>
      <c r="E440" s="15">
        <v>1500</v>
      </c>
      <c r="F440" s="15">
        <v>3200</v>
      </c>
      <c r="G440" s="15">
        <v>3000</v>
      </c>
      <c r="H440" s="15">
        <v>2300</v>
      </c>
      <c r="I440" s="15">
        <v>3700</v>
      </c>
    </row>
    <row r="441" spans="1:9" x14ac:dyDescent="0.2">
      <c r="A441" s="14">
        <v>2004</v>
      </c>
      <c r="B441" s="14" t="s">
        <v>164</v>
      </c>
      <c r="C441" s="14" t="s">
        <v>165</v>
      </c>
      <c r="D441" s="15">
        <v>2100</v>
      </c>
      <c r="E441" s="15">
        <v>1400</v>
      </c>
      <c r="F441" s="15">
        <v>3200</v>
      </c>
      <c r="G441" s="15">
        <v>2800</v>
      </c>
      <c r="H441" s="15">
        <v>2200</v>
      </c>
      <c r="I441" s="15">
        <v>3600</v>
      </c>
    </row>
    <row r="442" spans="1:9" x14ac:dyDescent="0.2">
      <c r="A442" s="14">
        <v>2005</v>
      </c>
      <c r="B442" s="14" t="s">
        <v>164</v>
      </c>
      <c r="C442" s="14" t="s">
        <v>165</v>
      </c>
      <c r="D442" s="15">
        <v>1800</v>
      </c>
      <c r="E442" s="15">
        <v>1100</v>
      </c>
      <c r="F442" s="15">
        <v>2800</v>
      </c>
      <c r="G442" s="15">
        <v>2700</v>
      </c>
      <c r="H442" s="15">
        <v>2100</v>
      </c>
      <c r="I442" s="15">
        <v>3600</v>
      </c>
    </row>
    <row r="443" spans="1:9" x14ac:dyDescent="0.2">
      <c r="A443" s="14">
        <v>2006</v>
      </c>
      <c r="B443" s="14" t="s">
        <v>164</v>
      </c>
      <c r="C443" s="14" t="s">
        <v>165</v>
      </c>
      <c r="D443" s="15">
        <v>1600</v>
      </c>
      <c r="E443" s="15">
        <v>1000</v>
      </c>
      <c r="F443" s="15">
        <v>2700</v>
      </c>
      <c r="G443" s="15">
        <v>2600</v>
      </c>
      <c r="H443" s="15">
        <v>2000</v>
      </c>
      <c r="I443" s="15">
        <v>3500</v>
      </c>
    </row>
    <row r="444" spans="1:9" x14ac:dyDescent="0.2">
      <c r="A444" s="14">
        <v>2007</v>
      </c>
      <c r="B444" s="14" t="s">
        <v>164</v>
      </c>
      <c r="C444" s="14" t="s">
        <v>165</v>
      </c>
      <c r="D444" s="15">
        <v>1700</v>
      </c>
      <c r="E444" s="15">
        <v>1100</v>
      </c>
      <c r="F444" s="15">
        <v>2700</v>
      </c>
      <c r="G444" s="15">
        <v>2700</v>
      </c>
      <c r="H444" s="15">
        <v>2000</v>
      </c>
      <c r="I444" s="15">
        <v>3600</v>
      </c>
    </row>
    <row r="445" spans="1:9" x14ac:dyDescent="0.2">
      <c r="A445" s="14">
        <v>2008</v>
      </c>
      <c r="B445" s="14" t="s">
        <v>164</v>
      </c>
      <c r="C445" s="14" t="s">
        <v>165</v>
      </c>
      <c r="D445" s="15">
        <v>1800</v>
      </c>
      <c r="E445" s="15">
        <v>1100</v>
      </c>
      <c r="F445" s="15">
        <v>2700</v>
      </c>
      <c r="G445" s="15">
        <v>2500</v>
      </c>
      <c r="H445" s="15">
        <v>1800</v>
      </c>
      <c r="I445" s="15">
        <v>3300</v>
      </c>
    </row>
    <row r="446" spans="1:9" x14ac:dyDescent="0.2">
      <c r="A446" s="14">
        <v>2009</v>
      </c>
      <c r="B446" s="14" t="s">
        <v>164</v>
      </c>
      <c r="C446" s="14" t="s">
        <v>165</v>
      </c>
      <c r="D446" s="15">
        <v>1800</v>
      </c>
      <c r="E446" s="15">
        <v>1200</v>
      </c>
      <c r="F446" s="15">
        <v>2700</v>
      </c>
      <c r="G446" s="15">
        <v>2500</v>
      </c>
      <c r="H446" s="15">
        <v>1900</v>
      </c>
      <c r="I446" s="15">
        <v>3400</v>
      </c>
    </row>
    <row r="447" spans="1:9" x14ac:dyDescent="0.2">
      <c r="A447" s="14">
        <v>2010</v>
      </c>
      <c r="B447" s="14" t="s">
        <v>164</v>
      </c>
      <c r="C447" s="14" t="s">
        <v>165</v>
      </c>
      <c r="D447" s="15">
        <v>1800</v>
      </c>
      <c r="E447" s="15">
        <v>1200</v>
      </c>
      <c r="F447" s="15">
        <v>2600</v>
      </c>
      <c r="G447" s="15">
        <v>2500</v>
      </c>
      <c r="H447" s="15">
        <v>1800</v>
      </c>
      <c r="I447" s="15">
        <v>3300</v>
      </c>
    </row>
    <row r="448" spans="1:9" x14ac:dyDescent="0.2">
      <c r="A448" s="14">
        <v>2011</v>
      </c>
      <c r="B448" s="14" t="s">
        <v>164</v>
      </c>
      <c r="C448" s="14" t="s">
        <v>165</v>
      </c>
      <c r="D448" s="15">
        <v>1800</v>
      </c>
      <c r="E448" s="15">
        <v>1200</v>
      </c>
      <c r="F448" s="15">
        <v>2500</v>
      </c>
      <c r="G448" s="15">
        <v>2400</v>
      </c>
      <c r="H448" s="15">
        <v>1600</v>
      </c>
      <c r="I448" s="15">
        <v>3300</v>
      </c>
    </row>
    <row r="449" spans="1:9" x14ac:dyDescent="0.2">
      <c r="A449" s="14">
        <v>2012</v>
      </c>
      <c r="B449" s="14" t="s">
        <v>164</v>
      </c>
      <c r="C449" s="14" t="s">
        <v>165</v>
      </c>
      <c r="D449" s="15">
        <v>1600</v>
      </c>
      <c r="E449" s="15">
        <v>1000</v>
      </c>
      <c r="F449" s="15">
        <v>2200</v>
      </c>
      <c r="G449" s="15">
        <v>2300</v>
      </c>
      <c r="H449" s="15">
        <v>1500</v>
      </c>
      <c r="I449" s="15">
        <v>3100</v>
      </c>
    </row>
    <row r="450" spans="1:9" x14ac:dyDescent="0.2">
      <c r="A450" s="14">
        <v>2013</v>
      </c>
      <c r="B450" s="14" t="s">
        <v>164</v>
      </c>
      <c r="C450" s="14" t="s">
        <v>165</v>
      </c>
      <c r="D450" s="15">
        <v>1400</v>
      </c>
      <c r="E450" s="15">
        <v>910</v>
      </c>
      <c r="F450" s="15">
        <v>2000</v>
      </c>
      <c r="G450" s="15">
        <v>2200</v>
      </c>
      <c r="H450" s="15">
        <v>1400</v>
      </c>
      <c r="I450" s="15">
        <v>3100</v>
      </c>
    </row>
    <row r="451" spans="1:9" x14ac:dyDescent="0.2">
      <c r="A451" s="14">
        <v>2014</v>
      </c>
      <c r="B451" s="14" t="s">
        <v>164</v>
      </c>
      <c r="C451" s="14" t="s">
        <v>165</v>
      </c>
      <c r="D451" s="15">
        <v>1300</v>
      </c>
      <c r="E451" s="15">
        <v>840</v>
      </c>
      <c r="F451" s="15">
        <v>1900</v>
      </c>
      <c r="G451" s="15">
        <v>2100</v>
      </c>
      <c r="H451" s="15">
        <v>1300</v>
      </c>
      <c r="I451" s="15">
        <v>3000</v>
      </c>
    </row>
    <row r="452" spans="1:9" x14ac:dyDescent="0.2">
      <c r="A452" s="14">
        <v>2015</v>
      </c>
      <c r="B452" s="14" t="s">
        <v>164</v>
      </c>
      <c r="C452" s="14" t="s">
        <v>165</v>
      </c>
      <c r="D452" s="15">
        <v>1500</v>
      </c>
      <c r="E452" s="15">
        <v>920</v>
      </c>
      <c r="F452" s="15">
        <v>2100</v>
      </c>
      <c r="G452" s="15">
        <v>2000</v>
      </c>
      <c r="H452" s="15">
        <v>1300</v>
      </c>
      <c r="I452" s="15">
        <v>3000</v>
      </c>
    </row>
    <row r="453" spans="1:9" x14ac:dyDescent="0.2">
      <c r="A453" s="14">
        <v>2016</v>
      </c>
      <c r="B453" s="14" t="s">
        <v>164</v>
      </c>
      <c r="C453" s="14" t="s">
        <v>165</v>
      </c>
      <c r="D453" s="15">
        <v>1700</v>
      </c>
      <c r="E453" s="15">
        <v>1100</v>
      </c>
      <c r="F453" s="15">
        <v>2400</v>
      </c>
      <c r="G453" s="15">
        <v>1900</v>
      </c>
      <c r="H453" s="15">
        <v>1200</v>
      </c>
      <c r="I453" s="15">
        <v>2900</v>
      </c>
    </row>
    <row r="454" spans="1:9" x14ac:dyDescent="0.2">
      <c r="A454" s="14">
        <v>2017</v>
      </c>
      <c r="B454" s="14" t="s">
        <v>164</v>
      </c>
      <c r="C454" s="14" t="s">
        <v>165</v>
      </c>
      <c r="D454" s="15">
        <v>1800</v>
      </c>
      <c r="E454" s="15">
        <v>1200</v>
      </c>
      <c r="F454" s="15">
        <v>2500</v>
      </c>
      <c r="G454" s="15">
        <v>2100</v>
      </c>
      <c r="H454" s="15">
        <v>1300</v>
      </c>
      <c r="I454" s="15">
        <v>3200</v>
      </c>
    </row>
    <row r="455" spans="1:9" x14ac:dyDescent="0.2">
      <c r="A455" s="14">
        <v>2018</v>
      </c>
      <c r="B455" s="14" t="s">
        <v>164</v>
      </c>
      <c r="C455" s="14" t="s">
        <v>165</v>
      </c>
      <c r="D455" s="15">
        <v>2000</v>
      </c>
      <c r="E455" s="15">
        <v>1400</v>
      </c>
      <c r="F455" s="15">
        <v>2700</v>
      </c>
      <c r="G455" s="15">
        <v>2100</v>
      </c>
      <c r="H455" s="15">
        <v>1300</v>
      </c>
      <c r="I455" s="15">
        <v>3300</v>
      </c>
    </row>
    <row r="456" spans="1:9" x14ac:dyDescent="0.2">
      <c r="A456" s="14">
        <v>2019</v>
      </c>
      <c r="B456" s="14" t="s">
        <v>164</v>
      </c>
      <c r="C456" s="14" t="s">
        <v>165</v>
      </c>
      <c r="D456" s="15">
        <v>2000</v>
      </c>
      <c r="E456" s="15">
        <v>1500</v>
      </c>
      <c r="F456" s="15">
        <v>2800</v>
      </c>
      <c r="G456" s="15">
        <v>1900</v>
      </c>
      <c r="H456" s="15">
        <v>1100</v>
      </c>
      <c r="I456" s="15">
        <v>3200</v>
      </c>
    </row>
    <row r="457" spans="1:9" x14ac:dyDescent="0.2">
      <c r="A457" s="14">
        <v>2020</v>
      </c>
      <c r="B457" s="14" t="s">
        <v>164</v>
      </c>
      <c r="C457" s="14" t="s">
        <v>165</v>
      </c>
      <c r="D457" s="15">
        <v>2000</v>
      </c>
      <c r="E457" s="15">
        <v>1500</v>
      </c>
      <c r="F457" s="15">
        <v>2700</v>
      </c>
      <c r="G457" s="15">
        <v>1900</v>
      </c>
      <c r="H457" s="15">
        <v>1100</v>
      </c>
      <c r="I457" s="15">
        <v>3100</v>
      </c>
    </row>
    <row r="458" spans="1:9" x14ac:dyDescent="0.2">
      <c r="A458" s="14">
        <v>2021</v>
      </c>
      <c r="B458" s="14" t="s">
        <v>164</v>
      </c>
      <c r="C458" s="14" t="s">
        <v>165</v>
      </c>
      <c r="D458" s="15">
        <v>2000</v>
      </c>
      <c r="E458" s="15">
        <v>1400</v>
      </c>
      <c r="F458" s="15">
        <v>2700</v>
      </c>
      <c r="G458" s="15">
        <v>1800</v>
      </c>
      <c r="H458" s="15">
        <v>1100</v>
      </c>
      <c r="I458" s="15">
        <v>3000</v>
      </c>
    </row>
    <row r="459" spans="1:9" x14ac:dyDescent="0.2">
      <c r="A459" s="14">
        <v>2022</v>
      </c>
      <c r="B459" s="14" t="s">
        <v>164</v>
      </c>
      <c r="C459" s="14" t="s">
        <v>165</v>
      </c>
      <c r="D459" s="15">
        <v>1800</v>
      </c>
      <c r="E459" s="15">
        <v>1300</v>
      </c>
      <c r="F459" s="15">
        <v>2500</v>
      </c>
      <c r="G459" s="15">
        <v>1700</v>
      </c>
      <c r="H459" s="15">
        <v>910</v>
      </c>
      <c r="I459" s="15">
        <v>3000</v>
      </c>
    </row>
    <row r="460" spans="1:9" x14ac:dyDescent="0.2">
      <c r="A460" s="14">
        <v>2023</v>
      </c>
      <c r="B460" s="14" t="s">
        <v>164</v>
      </c>
      <c r="C460" s="14" t="s">
        <v>165</v>
      </c>
      <c r="D460" s="15">
        <v>1600</v>
      </c>
      <c r="E460" s="15">
        <v>1100</v>
      </c>
      <c r="F460" s="15">
        <v>2200</v>
      </c>
      <c r="G460" s="15">
        <v>1600</v>
      </c>
      <c r="H460" s="15">
        <v>830</v>
      </c>
      <c r="I460" s="15">
        <v>3100</v>
      </c>
    </row>
    <row r="461" spans="1:9" x14ac:dyDescent="0.2">
      <c r="A461" s="14">
        <v>2024</v>
      </c>
      <c r="B461" s="14" t="s">
        <v>164</v>
      </c>
      <c r="C461" s="14" t="s">
        <v>165</v>
      </c>
      <c r="D461" s="15">
        <v>1400</v>
      </c>
      <c r="E461" s="15">
        <v>1000</v>
      </c>
      <c r="F461" s="15">
        <v>2100</v>
      </c>
      <c r="G461" s="15">
        <v>1400</v>
      </c>
      <c r="H461" s="15">
        <v>650</v>
      </c>
      <c r="I461" s="15">
        <v>2700</v>
      </c>
    </row>
    <row r="462" spans="1:9" x14ac:dyDescent="0.2">
      <c r="A462" s="14">
        <v>1990</v>
      </c>
      <c r="B462" s="14" t="s">
        <v>166</v>
      </c>
      <c r="C462" s="14" t="s">
        <v>167</v>
      </c>
      <c r="D462" s="15" t="s">
        <v>30</v>
      </c>
      <c r="E462" s="15" t="s">
        <v>30</v>
      </c>
      <c r="F462" s="15" t="s">
        <v>30</v>
      </c>
      <c r="G462" s="15" t="s">
        <v>32</v>
      </c>
      <c r="H462" s="15" t="s">
        <v>31</v>
      </c>
      <c r="I462" s="15">
        <v>590</v>
      </c>
    </row>
    <row r="463" spans="1:9" x14ac:dyDescent="0.2">
      <c r="A463" s="14">
        <v>1991</v>
      </c>
      <c r="B463" s="14" t="s">
        <v>166</v>
      </c>
      <c r="C463" s="14" t="s">
        <v>167</v>
      </c>
      <c r="D463" s="15" t="s">
        <v>30</v>
      </c>
      <c r="E463" s="15" t="s">
        <v>30</v>
      </c>
      <c r="F463" s="15" t="s">
        <v>30</v>
      </c>
      <c r="G463" s="15" t="s">
        <v>32</v>
      </c>
      <c r="H463" s="15" t="s">
        <v>32</v>
      </c>
      <c r="I463" s="15">
        <v>760</v>
      </c>
    </row>
    <row r="464" spans="1:9" x14ac:dyDescent="0.2">
      <c r="A464" s="14">
        <v>1992</v>
      </c>
      <c r="B464" s="14" t="s">
        <v>166</v>
      </c>
      <c r="C464" s="14" t="s">
        <v>167</v>
      </c>
      <c r="D464" s="15" t="s">
        <v>30</v>
      </c>
      <c r="E464" s="15" t="s">
        <v>30</v>
      </c>
      <c r="F464" s="15" t="s">
        <v>31</v>
      </c>
      <c r="G464" s="15">
        <v>650</v>
      </c>
      <c r="H464" s="15" t="s">
        <v>32</v>
      </c>
      <c r="I464" s="15">
        <v>1000</v>
      </c>
    </row>
    <row r="465" spans="1:9" x14ac:dyDescent="0.2">
      <c r="A465" s="14">
        <v>1993</v>
      </c>
      <c r="B465" s="14" t="s">
        <v>166</v>
      </c>
      <c r="C465" s="14" t="s">
        <v>167</v>
      </c>
      <c r="D465" s="15" t="s">
        <v>30</v>
      </c>
      <c r="E465" s="15" t="s">
        <v>30</v>
      </c>
      <c r="F465" s="15" t="s">
        <v>31</v>
      </c>
      <c r="G465" s="15">
        <v>840</v>
      </c>
      <c r="H465" s="15">
        <v>520</v>
      </c>
      <c r="I465" s="15">
        <v>1300</v>
      </c>
    </row>
    <row r="466" spans="1:9" x14ac:dyDescent="0.2">
      <c r="A466" s="14">
        <v>1994</v>
      </c>
      <c r="B466" s="14" t="s">
        <v>166</v>
      </c>
      <c r="C466" s="14" t="s">
        <v>167</v>
      </c>
      <c r="D466" s="15" t="s">
        <v>31</v>
      </c>
      <c r="E466" s="15" t="s">
        <v>30</v>
      </c>
      <c r="F466" s="15" t="s">
        <v>31</v>
      </c>
      <c r="G466" s="15">
        <v>1100</v>
      </c>
      <c r="H466" s="15">
        <v>690</v>
      </c>
      <c r="I466" s="15">
        <v>1500</v>
      </c>
    </row>
    <row r="467" spans="1:9" x14ac:dyDescent="0.2">
      <c r="A467" s="14">
        <v>1995</v>
      </c>
      <c r="B467" s="14" t="s">
        <v>166</v>
      </c>
      <c r="C467" s="14" t="s">
        <v>167</v>
      </c>
      <c r="D467" s="15" t="s">
        <v>31</v>
      </c>
      <c r="E467" s="15" t="s">
        <v>30</v>
      </c>
      <c r="F467" s="15" t="s">
        <v>32</v>
      </c>
      <c r="G467" s="15">
        <v>1300</v>
      </c>
      <c r="H467" s="15">
        <v>880</v>
      </c>
      <c r="I467" s="15">
        <v>1800</v>
      </c>
    </row>
    <row r="468" spans="1:9" x14ac:dyDescent="0.2">
      <c r="A468" s="14">
        <v>1996</v>
      </c>
      <c r="B468" s="14" t="s">
        <v>166</v>
      </c>
      <c r="C468" s="14" t="s">
        <v>167</v>
      </c>
      <c r="D468" s="15" t="s">
        <v>31</v>
      </c>
      <c r="E468" s="15" t="s">
        <v>31</v>
      </c>
      <c r="F468" s="15" t="s">
        <v>32</v>
      </c>
      <c r="G468" s="15">
        <v>1500</v>
      </c>
      <c r="H468" s="15">
        <v>1100</v>
      </c>
      <c r="I468" s="15">
        <v>2100</v>
      </c>
    </row>
    <row r="469" spans="1:9" x14ac:dyDescent="0.2">
      <c r="A469" s="14">
        <v>1997</v>
      </c>
      <c r="B469" s="14" t="s">
        <v>166</v>
      </c>
      <c r="C469" s="14" t="s">
        <v>167</v>
      </c>
      <c r="D469" s="15" t="s">
        <v>32</v>
      </c>
      <c r="E469" s="15" t="s">
        <v>31</v>
      </c>
      <c r="F469" s="15" t="s">
        <v>32</v>
      </c>
      <c r="G469" s="15">
        <v>1700</v>
      </c>
      <c r="H469" s="15">
        <v>1200</v>
      </c>
      <c r="I469" s="15">
        <v>2400</v>
      </c>
    </row>
    <row r="470" spans="1:9" x14ac:dyDescent="0.2">
      <c r="A470" s="14">
        <v>1998</v>
      </c>
      <c r="B470" s="14" t="s">
        <v>166</v>
      </c>
      <c r="C470" s="14" t="s">
        <v>167</v>
      </c>
      <c r="D470" s="15" t="s">
        <v>32</v>
      </c>
      <c r="E470" s="15" t="s">
        <v>32</v>
      </c>
      <c r="F470" s="15" t="s">
        <v>32</v>
      </c>
      <c r="G470" s="15">
        <v>1900</v>
      </c>
      <c r="H470" s="15">
        <v>1400</v>
      </c>
      <c r="I470" s="15">
        <v>2600</v>
      </c>
    </row>
    <row r="471" spans="1:9" x14ac:dyDescent="0.2">
      <c r="A471" s="14">
        <v>1999</v>
      </c>
      <c r="B471" s="14" t="s">
        <v>166</v>
      </c>
      <c r="C471" s="14" t="s">
        <v>167</v>
      </c>
      <c r="D471" s="15" t="s">
        <v>32</v>
      </c>
      <c r="E471" s="15" t="s">
        <v>32</v>
      </c>
      <c r="F471" s="15">
        <v>600</v>
      </c>
      <c r="G471" s="15">
        <v>1900</v>
      </c>
      <c r="H471" s="15">
        <v>1400</v>
      </c>
      <c r="I471" s="15">
        <v>2600</v>
      </c>
    </row>
    <row r="472" spans="1:9" x14ac:dyDescent="0.2">
      <c r="A472" s="14">
        <v>2000</v>
      </c>
      <c r="B472" s="14" t="s">
        <v>166</v>
      </c>
      <c r="C472" s="14" t="s">
        <v>167</v>
      </c>
      <c r="D472" s="15" t="s">
        <v>32</v>
      </c>
      <c r="E472" s="15" t="s">
        <v>32</v>
      </c>
      <c r="F472" s="15">
        <v>720</v>
      </c>
      <c r="G472" s="15">
        <v>2000</v>
      </c>
      <c r="H472" s="15">
        <v>1500</v>
      </c>
      <c r="I472" s="15">
        <v>2700</v>
      </c>
    </row>
    <row r="473" spans="1:9" x14ac:dyDescent="0.2">
      <c r="A473" s="14">
        <v>2001</v>
      </c>
      <c r="B473" s="14" t="s">
        <v>166</v>
      </c>
      <c r="C473" s="14" t="s">
        <v>167</v>
      </c>
      <c r="D473" s="15">
        <v>590</v>
      </c>
      <c r="E473" s="15" t="s">
        <v>32</v>
      </c>
      <c r="F473" s="15">
        <v>830</v>
      </c>
      <c r="G473" s="15">
        <v>2000</v>
      </c>
      <c r="H473" s="15">
        <v>1500</v>
      </c>
      <c r="I473" s="15">
        <v>2600</v>
      </c>
    </row>
    <row r="474" spans="1:9" x14ac:dyDescent="0.2">
      <c r="A474" s="14">
        <v>2002</v>
      </c>
      <c r="B474" s="14" t="s">
        <v>166</v>
      </c>
      <c r="C474" s="14" t="s">
        <v>167</v>
      </c>
      <c r="D474" s="15">
        <v>700</v>
      </c>
      <c r="E474" s="15" t="s">
        <v>32</v>
      </c>
      <c r="F474" s="15">
        <v>970</v>
      </c>
      <c r="G474" s="15">
        <v>2100</v>
      </c>
      <c r="H474" s="15">
        <v>1600</v>
      </c>
      <c r="I474" s="15">
        <v>2700</v>
      </c>
    </row>
    <row r="475" spans="1:9" x14ac:dyDescent="0.2">
      <c r="A475" s="14">
        <v>2003</v>
      </c>
      <c r="B475" s="14" t="s">
        <v>166</v>
      </c>
      <c r="C475" s="14" t="s">
        <v>167</v>
      </c>
      <c r="D475" s="15">
        <v>810</v>
      </c>
      <c r="E475" s="15">
        <v>590</v>
      </c>
      <c r="F475" s="15">
        <v>1100</v>
      </c>
      <c r="G475" s="15">
        <v>2000</v>
      </c>
      <c r="H475" s="15">
        <v>1600</v>
      </c>
      <c r="I475" s="15">
        <v>2700</v>
      </c>
    </row>
    <row r="476" spans="1:9" x14ac:dyDescent="0.2">
      <c r="A476" s="14">
        <v>2004</v>
      </c>
      <c r="B476" s="14" t="s">
        <v>166</v>
      </c>
      <c r="C476" s="14" t="s">
        <v>167</v>
      </c>
      <c r="D476" s="15">
        <v>920</v>
      </c>
      <c r="E476" s="15">
        <v>680</v>
      </c>
      <c r="F476" s="15">
        <v>1300</v>
      </c>
      <c r="G476" s="15">
        <v>2000</v>
      </c>
      <c r="H476" s="15">
        <v>1500</v>
      </c>
      <c r="I476" s="15">
        <v>2600</v>
      </c>
    </row>
    <row r="477" spans="1:9" x14ac:dyDescent="0.2">
      <c r="A477" s="14">
        <v>2005</v>
      </c>
      <c r="B477" s="14" t="s">
        <v>166</v>
      </c>
      <c r="C477" s="14" t="s">
        <v>167</v>
      </c>
      <c r="D477" s="15">
        <v>970</v>
      </c>
      <c r="E477" s="15">
        <v>710</v>
      </c>
      <c r="F477" s="15">
        <v>1300</v>
      </c>
      <c r="G477" s="15">
        <v>2000</v>
      </c>
      <c r="H477" s="15">
        <v>1600</v>
      </c>
      <c r="I477" s="15">
        <v>2700</v>
      </c>
    </row>
    <row r="478" spans="1:9" x14ac:dyDescent="0.2">
      <c r="A478" s="14">
        <v>2006</v>
      </c>
      <c r="B478" s="14" t="s">
        <v>166</v>
      </c>
      <c r="C478" s="14" t="s">
        <v>167</v>
      </c>
      <c r="D478" s="15">
        <v>1000</v>
      </c>
      <c r="E478" s="15">
        <v>750</v>
      </c>
      <c r="F478" s="15">
        <v>1400</v>
      </c>
      <c r="G478" s="15">
        <v>2000</v>
      </c>
      <c r="H478" s="15">
        <v>1600</v>
      </c>
      <c r="I478" s="15">
        <v>2800</v>
      </c>
    </row>
    <row r="479" spans="1:9" x14ac:dyDescent="0.2">
      <c r="A479" s="14">
        <v>2007</v>
      </c>
      <c r="B479" s="14" t="s">
        <v>166</v>
      </c>
      <c r="C479" s="14" t="s">
        <v>167</v>
      </c>
      <c r="D479" s="15">
        <v>1100</v>
      </c>
      <c r="E479" s="15">
        <v>840</v>
      </c>
      <c r="F479" s="15">
        <v>1600</v>
      </c>
      <c r="G479" s="15">
        <v>2000</v>
      </c>
      <c r="H479" s="15">
        <v>1600</v>
      </c>
      <c r="I479" s="15">
        <v>2700</v>
      </c>
    </row>
    <row r="480" spans="1:9" x14ac:dyDescent="0.2">
      <c r="A480" s="14">
        <v>2008</v>
      </c>
      <c r="B480" s="14" t="s">
        <v>166</v>
      </c>
      <c r="C480" s="14" t="s">
        <v>167</v>
      </c>
      <c r="D480" s="15">
        <v>1200</v>
      </c>
      <c r="E480" s="15">
        <v>880</v>
      </c>
      <c r="F480" s="15">
        <v>1600</v>
      </c>
      <c r="G480" s="15">
        <v>2000</v>
      </c>
      <c r="H480" s="15">
        <v>1600</v>
      </c>
      <c r="I480" s="15">
        <v>2700</v>
      </c>
    </row>
    <row r="481" spans="1:9" x14ac:dyDescent="0.2">
      <c r="A481" s="14">
        <v>2009</v>
      </c>
      <c r="B481" s="14" t="s">
        <v>166</v>
      </c>
      <c r="C481" s="14" t="s">
        <v>167</v>
      </c>
      <c r="D481" s="15">
        <v>1200</v>
      </c>
      <c r="E481" s="15">
        <v>920</v>
      </c>
      <c r="F481" s="15">
        <v>1700</v>
      </c>
      <c r="G481" s="15">
        <v>2000</v>
      </c>
      <c r="H481" s="15">
        <v>1500</v>
      </c>
      <c r="I481" s="15">
        <v>2700</v>
      </c>
    </row>
    <row r="482" spans="1:9" x14ac:dyDescent="0.2">
      <c r="A482" s="14">
        <v>2010</v>
      </c>
      <c r="B482" s="14" t="s">
        <v>166</v>
      </c>
      <c r="C482" s="14" t="s">
        <v>167</v>
      </c>
      <c r="D482" s="15">
        <v>1200</v>
      </c>
      <c r="E482" s="15">
        <v>890</v>
      </c>
      <c r="F482" s="15">
        <v>1700</v>
      </c>
      <c r="G482" s="15">
        <v>2000</v>
      </c>
      <c r="H482" s="15">
        <v>1500</v>
      </c>
      <c r="I482" s="15">
        <v>2600</v>
      </c>
    </row>
    <row r="483" spans="1:9" x14ac:dyDescent="0.2">
      <c r="A483" s="14">
        <v>2011</v>
      </c>
      <c r="B483" s="14" t="s">
        <v>166</v>
      </c>
      <c r="C483" s="14" t="s">
        <v>167</v>
      </c>
      <c r="D483" s="15">
        <v>1100</v>
      </c>
      <c r="E483" s="15">
        <v>780</v>
      </c>
      <c r="F483" s="15">
        <v>1600</v>
      </c>
      <c r="G483" s="15">
        <v>1900</v>
      </c>
      <c r="H483" s="15">
        <v>1500</v>
      </c>
      <c r="I483" s="15">
        <v>2600</v>
      </c>
    </row>
    <row r="484" spans="1:9" x14ac:dyDescent="0.2">
      <c r="A484" s="14">
        <v>2012</v>
      </c>
      <c r="B484" s="14" t="s">
        <v>166</v>
      </c>
      <c r="C484" s="14" t="s">
        <v>167</v>
      </c>
      <c r="D484" s="15">
        <v>1100</v>
      </c>
      <c r="E484" s="15">
        <v>730</v>
      </c>
      <c r="F484" s="15">
        <v>1600</v>
      </c>
      <c r="G484" s="15">
        <v>1900</v>
      </c>
      <c r="H484" s="15">
        <v>1400</v>
      </c>
      <c r="I484" s="15">
        <v>2500</v>
      </c>
    </row>
    <row r="485" spans="1:9" x14ac:dyDescent="0.2">
      <c r="A485" s="14">
        <v>2013</v>
      </c>
      <c r="B485" s="14" t="s">
        <v>166</v>
      </c>
      <c r="C485" s="14" t="s">
        <v>167</v>
      </c>
      <c r="D485" s="15">
        <v>1100</v>
      </c>
      <c r="E485" s="15">
        <v>770</v>
      </c>
      <c r="F485" s="15">
        <v>1600</v>
      </c>
      <c r="G485" s="15">
        <v>1800</v>
      </c>
      <c r="H485" s="15">
        <v>1300</v>
      </c>
      <c r="I485" s="15">
        <v>2500</v>
      </c>
    </row>
    <row r="486" spans="1:9" x14ac:dyDescent="0.2">
      <c r="A486" s="14">
        <v>2014</v>
      </c>
      <c r="B486" s="14" t="s">
        <v>166</v>
      </c>
      <c r="C486" s="14" t="s">
        <v>167</v>
      </c>
      <c r="D486" s="15">
        <v>1200</v>
      </c>
      <c r="E486" s="15">
        <v>860</v>
      </c>
      <c r="F486" s="15">
        <v>1800</v>
      </c>
      <c r="G486" s="15">
        <v>1800</v>
      </c>
      <c r="H486" s="15">
        <v>1200</v>
      </c>
      <c r="I486" s="15">
        <v>2300</v>
      </c>
    </row>
    <row r="487" spans="1:9" x14ac:dyDescent="0.2">
      <c r="A487" s="14">
        <v>2015</v>
      </c>
      <c r="B487" s="14" t="s">
        <v>166</v>
      </c>
      <c r="C487" s="14" t="s">
        <v>167</v>
      </c>
      <c r="D487" s="15">
        <v>1300</v>
      </c>
      <c r="E487" s="15">
        <v>910</v>
      </c>
      <c r="F487" s="15">
        <v>1800</v>
      </c>
      <c r="G487" s="15">
        <v>1700</v>
      </c>
      <c r="H487" s="15">
        <v>1200</v>
      </c>
      <c r="I487" s="15">
        <v>2300</v>
      </c>
    </row>
    <row r="488" spans="1:9" x14ac:dyDescent="0.2">
      <c r="A488" s="14">
        <v>2016</v>
      </c>
      <c r="B488" s="14" t="s">
        <v>166</v>
      </c>
      <c r="C488" s="14" t="s">
        <v>167</v>
      </c>
      <c r="D488" s="15">
        <v>1200</v>
      </c>
      <c r="E488" s="15">
        <v>890</v>
      </c>
      <c r="F488" s="15">
        <v>1800</v>
      </c>
      <c r="G488" s="15">
        <v>1600</v>
      </c>
      <c r="H488" s="15">
        <v>1100</v>
      </c>
      <c r="I488" s="15">
        <v>2100</v>
      </c>
    </row>
    <row r="489" spans="1:9" x14ac:dyDescent="0.2">
      <c r="A489" s="14">
        <v>2017</v>
      </c>
      <c r="B489" s="14" t="s">
        <v>166</v>
      </c>
      <c r="C489" s="14" t="s">
        <v>167</v>
      </c>
      <c r="D489" s="15">
        <v>1200</v>
      </c>
      <c r="E489" s="15">
        <v>880</v>
      </c>
      <c r="F489" s="15">
        <v>1800</v>
      </c>
      <c r="G489" s="15">
        <v>1500</v>
      </c>
      <c r="H489" s="15">
        <v>1000</v>
      </c>
      <c r="I489" s="15">
        <v>2100</v>
      </c>
    </row>
    <row r="490" spans="1:9" x14ac:dyDescent="0.2">
      <c r="A490" s="14">
        <v>2018</v>
      </c>
      <c r="B490" s="14" t="s">
        <v>166</v>
      </c>
      <c r="C490" s="14" t="s">
        <v>167</v>
      </c>
      <c r="D490" s="15">
        <v>1200</v>
      </c>
      <c r="E490" s="15">
        <v>870</v>
      </c>
      <c r="F490" s="15">
        <v>1700</v>
      </c>
      <c r="G490" s="15">
        <v>1300</v>
      </c>
      <c r="H490" s="15">
        <v>880</v>
      </c>
      <c r="I490" s="15">
        <v>1900</v>
      </c>
    </row>
    <row r="491" spans="1:9" x14ac:dyDescent="0.2">
      <c r="A491" s="14">
        <v>2019</v>
      </c>
      <c r="B491" s="14" t="s">
        <v>166</v>
      </c>
      <c r="C491" s="14" t="s">
        <v>167</v>
      </c>
      <c r="D491" s="15">
        <v>1200</v>
      </c>
      <c r="E491" s="15">
        <v>850</v>
      </c>
      <c r="F491" s="15">
        <v>1700</v>
      </c>
      <c r="G491" s="15">
        <v>1300</v>
      </c>
      <c r="H491" s="15">
        <v>840</v>
      </c>
      <c r="I491" s="15">
        <v>1900</v>
      </c>
    </row>
    <row r="492" spans="1:9" x14ac:dyDescent="0.2">
      <c r="A492" s="14">
        <v>2020</v>
      </c>
      <c r="B492" s="14" t="s">
        <v>166</v>
      </c>
      <c r="C492" s="14" t="s">
        <v>167</v>
      </c>
      <c r="D492" s="15">
        <v>1200</v>
      </c>
      <c r="E492" s="15">
        <v>840</v>
      </c>
      <c r="F492" s="15">
        <v>1700</v>
      </c>
      <c r="G492" s="15">
        <v>1300</v>
      </c>
      <c r="H492" s="15">
        <v>820</v>
      </c>
      <c r="I492" s="15">
        <v>1900</v>
      </c>
    </row>
    <row r="493" spans="1:9" x14ac:dyDescent="0.2">
      <c r="A493" s="14">
        <v>2021</v>
      </c>
      <c r="B493" s="14" t="s">
        <v>166</v>
      </c>
      <c r="C493" s="14" t="s">
        <v>167</v>
      </c>
      <c r="D493" s="15">
        <v>1300</v>
      </c>
      <c r="E493" s="15">
        <v>850</v>
      </c>
      <c r="F493" s="15">
        <v>1800</v>
      </c>
      <c r="G493" s="15">
        <v>1200</v>
      </c>
      <c r="H493" s="15">
        <v>750</v>
      </c>
      <c r="I493" s="15">
        <v>1900</v>
      </c>
    </row>
    <row r="494" spans="1:9" x14ac:dyDescent="0.2">
      <c r="A494" s="14">
        <v>2022</v>
      </c>
      <c r="B494" s="14" t="s">
        <v>166</v>
      </c>
      <c r="C494" s="14" t="s">
        <v>167</v>
      </c>
      <c r="D494" s="15">
        <v>1200</v>
      </c>
      <c r="E494" s="15">
        <v>790</v>
      </c>
      <c r="F494" s="15">
        <v>1700</v>
      </c>
      <c r="G494" s="15">
        <v>1100</v>
      </c>
      <c r="H494" s="15">
        <v>650</v>
      </c>
      <c r="I494" s="15">
        <v>1800</v>
      </c>
    </row>
    <row r="495" spans="1:9" x14ac:dyDescent="0.2">
      <c r="A495" s="14">
        <v>2023</v>
      </c>
      <c r="B495" s="14" t="s">
        <v>166</v>
      </c>
      <c r="C495" s="14" t="s">
        <v>167</v>
      </c>
      <c r="D495" s="15">
        <v>1100</v>
      </c>
      <c r="E495" s="15">
        <v>740</v>
      </c>
      <c r="F495" s="15">
        <v>1600</v>
      </c>
      <c r="G495" s="15">
        <v>1100</v>
      </c>
      <c r="H495" s="15">
        <v>590</v>
      </c>
      <c r="I495" s="15">
        <v>1800</v>
      </c>
    </row>
    <row r="496" spans="1:9" x14ac:dyDescent="0.2">
      <c r="A496" s="14">
        <v>2024</v>
      </c>
      <c r="B496" s="14" t="s">
        <v>166</v>
      </c>
      <c r="C496" s="14" t="s">
        <v>167</v>
      </c>
      <c r="D496" s="15">
        <v>1100</v>
      </c>
      <c r="E496" s="15">
        <v>690</v>
      </c>
      <c r="F496" s="15">
        <v>1500</v>
      </c>
      <c r="G496" s="15">
        <v>950</v>
      </c>
      <c r="H496" s="15">
        <v>530</v>
      </c>
      <c r="I496" s="15">
        <v>1700</v>
      </c>
    </row>
    <row r="497" spans="1:9" x14ac:dyDescent="0.2">
      <c r="A497" s="14">
        <v>1990</v>
      </c>
      <c r="B497" s="14" t="s">
        <v>168</v>
      </c>
      <c r="C497" s="14" t="s">
        <v>169</v>
      </c>
      <c r="D497" s="15">
        <v>2600</v>
      </c>
      <c r="E497" s="15">
        <v>1100</v>
      </c>
      <c r="F497" s="15">
        <v>4800</v>
      </c>
      <c r="G497" s="15" t="s">
        <v>71</v>
      </c>
      <c r="H497" s="15" t="s">
        <v>62</v>
      </c>
      <c r="I497" s="15" t="s">
        <v>79</v>
      </c>
    </row>
    <row r="498" spans="1:9" x14ac:dyDescent="0.2">
      <c r="A498" s="14">
        <v>1991</v>
      </c>
      <c r="B498" s="14" t="s">
        <v>168</v>
      </c>
      <c r="C498" s="14" t="s">
        <v>169</v>
      </c>
      <c r="D498" s="15">
        <v>3500</v>
      </c>
      <c r="E498" s="15">
        <v>1600</v>
      </c>
      <c r="F498" s="15">
        <v>6000</v>
      </c>
      <c r="G498" s="15" t="s">
        <v>53</v>
      </c>
      <c r="H498" s="15" t="s">
        <v>47</v>
      </c>
      <c r="I498" s="15" t="s">
        <v>82</v>
      </c>
    </row>
    <row r="499" spans="1:9" x14ac:dyDescent="0.2">
      <c r="A499" s="14">
        <v>1992</v>
      </c>
      <c r="B499" s="14" t="s">
        <v>168</v>
      </c>
      <c r="C499" s="14" t="s">
        <v>169</v>
      </c>
      <c r="D499" s="15">
        <v>4500</v>
      </c>
      <c r="E499" s="15">
        <v>2300</v>
      </c>
      <c r="F499" s="15">
        <v>7400</v>
      </c>
      <c r="G499" s="15" t="s">
        <v>36</v>
      </c>
      <c r="H499" s="15" t="s">
        <v>71</v>
      </c>
      <c r="I499" s="15" t="s">
        <v>52</v>
      </c>
    </row>
    <row r="500" spans="1:9" x14ac:dyDescent="0.2">
      <c r="A500" s="14">
        <v>1993</v>
      </c>
      <c r="B500" s="14" t="s">
        <v>168</v>
      </c>
      <c r="C500" s="14" t="s">
        <v>169</v>
      </c>
      <c r="D500" s="15">
        <v>5700</v>
      </c>
      <c r="E500" s="15">
        <v>3200</v>
      </c>
      <c r="F500" s="15">
        <v>8900</v>
      </c>
      <c r="G500" s="15" t="s">
        <v>46</v>
      </c>
      <c r="H500" s="15" t="s">
        <v>61</v>
      </c>
      <c r="I500" s="15" t="s">
        <v>74</v>
      </c>
    </row>
    <row r="501" spans="1:9" x14ac:dyDescent="0.2">
      <c r="A501" s="14">
        <v>1994</v>
      </c>
      <c r="B501" s="14" t="s">
        <v>168</v>
      </c>
      <c r="C501" s="14" t="s">
        <v>169</v>
      </c>
      <c r="D501" s="15">
        <v>7000</v>
      </c>
      <c r="E501" s="15">
        <v>4200</v>
      </c>
      <c r="F501" s="15" t="s">
        <v>24</v>
      </c>
      <c r="G501" s="15" t="s">
        <v>46</v>
      </c>
      <c r="H501" s="15" t="s">
        <v>61</v>
      </c>
      <c r="I501" s="15" t="s">
        <v>74</v>
      </c>
    </row>
    <row r="502" spans="1:9" x14ac:dyDescent="0.2">
      <c r="A502" s="14">
        <v>1995</v>
      </c>
      <c r="B502" s="14" t="s">
        <v>168</v>
      </c>
      <c r="C502" s="14" t="s">
        <v>169</v>
      </c>
      <c r="D502" s="15">
        <v>8400</v>
      </c>
      <c r="E502" s="15">
        <v>5500</v>
      </c>
      <c r="F502" s="15" t="s">
        <v>15</v>
      </c>
      <c r="G502" s="15" t="s">
        <v>53</v>
      </c>
      <c r="H502" s="15" t="s">
        <v>49</v>
      </c>
      <c r="I502" s="15" t="s">
        <v>145</v>
      </c>
    </row>
    <row r="503" spans="1:9" x14ac:dyDescent="0.2">
      <c r="A503" s="14">
        <v>1996</v>
      </c>
      <c r="B503" s="14" t="s">
        <v>168</v>
      </c>
      <c r="C503" s="14" t="s">
        <v>169</v>
      </c>
      <c r="D503" s="15">
        <v>9900</v>
      </c>
      <c r="E503" s="15">
        <v>6800</v>
      </c>
      <c r="F503" s="15" t="s">
        <v>17</v>
      </c>
      <c r="G503" s="15" t="s">
        <v>113</v>
      </c>
      <c r="H503" s="15" t="s">
        <v>78</v>
      </c>
      <c r="I503" s="15" t="s">
        <v>75</v>
      </c>
    </row>
    <row r="504" spans="1:9" x14ac:dyDescent="0.2">
      <c r="A504" s="14">
        <v>1997</v>
      </c>
      <c r="B504" s="14" t="s">
        <v>168</v>
      </c>
      <c r="C504" s="14" t="s">
        <v>169</v>
      </c>
      <c r="D504" s="15" t="s">
        <v>24</v>
      </c>
      <c r="E504" s="15">
        <v>8200</v>
      </c>
      <c r="F504" s="15" t="s">
        <v>62</v>
      </c>
      <c r="G504" s="15" t="s">
        <v>61</v>
      </c>
      <c r="H504" s="15" t="s">
        <v>47</v>
      </c>
      <c r="I504" s="15" t="s">
        <v>46</v>
      </c>
    </row>
    <row r="505" spans="1:9" x14ac:dyDescent="0.2">
      <c r="A505" s="14">
        <v>1998</v>
      </c>
      <c r="B505" s="14" t="s">
        <v>168</v>
      </c>
      <c r="C505" s="14" t="s">
        <v>169</v>
      </c>
      <c r="D505" s="15" t="s">
        <v>23</v>
      </c>
      <c r="E505" s="15">
        <v>9700</v>
      </c>
      <c r="F505" s="15" t="s">
        <v>59</v>
      </c>
      <c r="G505" s="15" t="s">
        <v>71</v>
      </c>
      <c r="H505" s="15" t="s">
        <v>81</v>
      </c>
      <c r="I505" s="15" t="s">
        <v>36</v>
      </c>
    </row>
    <row r="506" spans="1:9" x14ac:dyDescent="0.2">
      <c r="A506" s="14">
        <v>1999</v>
      </c>
      <c r="B506" s="14" t="s">
        <v>168</v>
      </c>
      <c r="C506" s="14" t="s">
        <v>169</v>
      </c>
      <c r="D506" s="15" t="s">
        <v>17</v>
      </c>
      <c r="E506" s="15" t="s">
        <v>24</v>
      </c>
      <c r="F506" s="15" t="s">
        <v>51</v>
      </c>
      <c r="G506" s="15" t="s">
        <v>49</v>
      </c>
      <c r="H506" s="15" t="s">
        <v>51</v>
      </c>
      <c r="I506" s="15" t="s">
        <v>53</v>
      </c>
    </row>
    <row r="507" spans="1:9" x14ac:dyDescent="0.2">
      <c r="A507" s="14">
        <v>2000</v>
      </c>
      <c r="B507" s="14" t="s">
        <v>168</v>
      </c>
      <c r="C507" s="14" t="s">
        <v>169</v>
      </c>
      <c r="D507" s="15" t="s">
        <v>62</v>
      </c>
      <c r="E507" s="15" t="s">
        <v>23</v>
      </c>
      <c r="F507" s="15" t="s">
        <v>81</v>
      </c>
      <c r="G507" s="15" t="s">
        <v>78</v>
      </c>
      <c r="H507" s="15" t="s">
        <v>16</v>
      </c>
      <c r="I507" s="15" t="s">
        <v>37</v>
      </c>
    </row>
    <row r="508" spans="1:9" x14ac:dyDescent="0.2">
      <c r="A508" s="14">
        <v>2001</v>
      </c>
      <c r="B508" s="14" t="s">
        <v>168</v>
      </c>
      <c r="C508" s="14" t="s">
        <v>169</v>
      </c>
      <c r="D508" s="15" t="s">
        <v>59</v>
      </c>
      <c r="E508" s="15" t="s">
        <v>17</v>
      </c>
      <c r="F508" s="15" t="s">
        <v>47</v>
      </c>
      <c r="G508" s="15" t="s">
        <v>47</v>
      </c>
      <c r="H508" s="15" t="s">
        <v>16</v>
      </c>
      <c r="I508" s="15" t="s">
        <v>37</v>
      </c>
    </row>
    <row r="509" spans="1:9" x14ac:dyDescent="0.2">
      <c r="A509" s="14">
        <v>2002</v>
      </c>
      <c r="B509" s="14" t="s">
        <v>168</v>
      </c>
      <c r="C509" s="14" t="s">
        <v>169</v>
      </c>
      <c r="D509" s="15" t="s">
        <v>16</v>
      </c>
      <c r="E509" s="15" t="s">
        <v>60</v>
      </c>
      <c r="F509" s="15" t="s">
        <v>49</v>
      </c>
      <c r="G509" s="15" t="s">
        <v>81</v>
      </c>
      <c r="H509" s="15" t="s">
        <v>59</v>
      </c>
      <c r="I509" s="15" t="s">
        <v>61</v>
      </c>
    </row>
    <row r="510" spans="1:9" x14ac:dyDescent="0.2">
      <c r="A510" s="14">
        <v>2003</v>
      </c>
      <c r="B510" s="14" t="s">
        <v>168</v>
      </c>
      <c r="C510" s="14" t="s">
        <v>169</v>
      </c>
      <c r="D510" s="15" t="s">
        <v>51</v>
      </c>
      <c r="E510" s="15" t="s">
        <v>62</v>
      </c>
      <c r="F510" s="15" t="s">
        <v>49</v>
      </c>
      <c r="G510" s="15" t="s">
        <v>81</v>
      </c>
      <c r="H510" s="15" t="s">
        <v>62</v>
      </c>
      <c r="I510" s="15" t="s">
        <v>71</v>
      </c>
    </row>
    <row r="511" spans="1:9" x14ac:dyDescent="0.2">
      <c r="A511" s="14">
        <v>2004</v>
      </c>
      <c r="B511" s="14" t="s">
        <v>168</v>
      </c>
      <c r="C511" s="14" t="s">
        <v>169</v>
      </c>
      <c r="D511" s="15" t="s">
        <v>51</v>
      </c>
      <c r="E511" s="15" t="s">
        <v>59</v>
      </c>
      <c r="F511" s="15" t="s">
        <v>71</v>
      </c>
      <c r="G511" s="15" t="s">
        <v>51</v>
      </c>
      <c r="H511" s="15" t="s">
        <v>62</v>
      </c>
      <c r="I511" s="15" t="s">
        <v>49</v>
      </c>
    </row>
    <row r="512" spans="1:9" x14ac:dyDescent="0.2">
      <c r="A512" s="14">
        <v>2005</v>
      </c>
      <c r="B512" s="14" t="s">
        <v>168</v>
      </c>
      <c r="C512" s="14" t="s">
        <v>169</v>
      </c>
      <c r="D512" s="15" t="s">
        <v>51</v>
      </c>
      <c r="E512" s="15" t="s">
        <v>59</v>
      </c>
      <c r="F512" s="15" t="s">
        <v>71</v>
      </c>
      <c r="G512" s="15" t="s">
        <v>51</v>
      </c>
      <c r="H512" s="15" t="s">
        <v>60</v>
      </c>
      <c r="I512" s="15" t="s">
        <v>49</v>
      </c>
    </row>
    <row r="513" spans="1:9" x14ac:dyDescent="0.2">
      <c r="A513" s="14">
        <v>2006</v>
      </c>
      <c r="B513" s="14" t="s">
        <v>168</v>
      </c>
      <c r="C513" s="14" t="s">
        <v>169</v>
      </c>
      <c r="D513" s="15" t="s">
        <v>51</v>
      </c>
      <c r="E513" s="15" t="s">
        <v>59</v>
      </c>
      <c r="F513" s="15" t="s">
        <v>49</v>
      </c>
      <c r="G513" s="15" t="s">
        <v>16</v>
      </c>
      <c r="H513" s="15" t="s">
        <v>60</v>
      </c>
      <c r="I513" s="15" t="s">
        <v>49</v>
      </c>
    </row>
    <row r="514" spans="1:9" x14ac:dyDescent="0.2">
      <c r="A514" s="14">
        <v>2007</v>
      </c>
      <c r="B514" s="14" t="s">
        <v>168</v>
      </c>
      <c r="C514" s="14" t="s">
        <v>169</v>
      </c>
      <c r="D514" s="15" t="s">
        <v>51</v>
      </c>
      <c r="E514" s="15" t="s">
        <v>62</v>
      </c>
      <c r="F514" s="15" t="s">
        <v>49</v>
      </c>
      <c r="G514" s="15" t="s">
        <v>16</v>
      </c>
      <c r="H514" s="15" t="s">
        <v>60</v>
      </c>
      <c r="I514" s="15" t="s">
        <v>49</v>
      </c>
    </row>
    <row r="515" spans="1:9" x14ac:dyDescent="0.2">
      <c r="A515" s="14">
        <v>2008</v>
      </c>
      <c r="B515" s="14" t="s">
        <v>168</v>
      </c>
      <c r="C515" s="14" t="s">
        <v>169</v>
      </c>
      <c r="D515" s="15" t="s">
        <v>59</v>
      </c>
      <c r="E515" s="15" t="s">
        <v>60</v>
      </c>
      <c r="F515" s="15" t="s">
        <v>47</v>
      </c>
      <c r="G515" s="15" t="s">
        <v>16</v>
      </c>
      <c r="H515" s="15" t="s">
        <v>60</v>
      </c>
      <c r="I515" s="15" t="s">
        <v>78</v>
      </c>
    </row>
    <row r="516" spans="1:9" x14ac:dyDescent="0.2">
      <c r="A516" s="14">
        <v>2009</v>
      </c>
      <c r="B516" s="14" t="s">
        <v>168</v>
      </c>
      <c r="C516" s="14" t="s">
        <v>169</v>
      </c>
      <c r="D516" s="15" t="s">
        <v>62</v>
      </c>
      <c r="E516" s="15" t="s">
        <v>17</v>
      </c>
      <c r="F516" s="15" t="s">
        <v>81</v>
      </c>
      <c r="G516" s="15" t="s">
        <v>59</v>
      </c>
      <c r="H516" s="15" t="s">
        <v>17</v>
      </c>
      <c r="I516" s="15" t="s">
        <v>78</v>
      </c>
    </row>
    <row r="517" spans="1:9" x14ac:dyDescent="0.2">
      <c r="A517" s="14">
        <v>2010</v>
      </c>
      <c r="B517" s="14" t="s">
        <v>168</v>
      </c>
      <c r="C517" s="14" t="s">
        <v>169</v>
      </c>
      <c r="D517" s="15" t="s">
        <v>60</v>
      </c>
      <c r="E517" s="15" t="s">
        <v>23</v>
      </c>
      <c r="F517" s="15" t="s">
        <v>51</v>
      </c>
      <c r="G517" s="15" t="s">
        <v>16</v>
      </c>
      <c r="H517" s="15" t="s">
        <v>17</v>
      </c>
      <c r="I517" s="15" t="s">
        <v>78</v>
      </c>
    </row>
    <row r="518" spans="1:9" x14ac:dyDescent="0.2">
      <c r="A518" s="14">
        <v>2011</v>
      </c>
      <c r="B518" s="14" t="s">
        <v>168</v>
      </c>
      <c r="C518" s="14" t="s">
        <v>169</v>
      </c>
      <c r="D518" s="15" t="s">
        <v>17</v>
      </c>
      <c r="E518" s="15" t="s">
        <v>24</v>
      </c>
      <c r="F518" s="15" t="s">
        <v>16</v>
      </c>
      <c r="G518" s="15" t="s">
        <v>59</v>
      </c>
      <c r="H518" s="15" t="s">
        <v>17</v>
      </c>
      <c r="I518" s="15" t="s">
        <v>78</v>
      </c>
    </row>
    <row r="519" spans="1:9" x14ac:dyDescent="0.2">
      <c r="A519" s="14">
        <v>2012</v>
      </c>
      <c r="B519" s="14" t="s">
        <v>168</v>
      </c>
      <c r="C519" s="14" t="s">
        <v>169</v>
      </c>
      <c r="D519" s="15" t="s">
        <v>23</v>
      </c>
      <c r="E519" s="15" t="s">
        <v>22</v>
      </c>
      <c r="F519" s="15" t="s">
        <v>62</v>
      </c>
      <c r="G519" s="15" t="s">
        <v>59</v>
      </c>
      <c r="H519" s="15" t="s">
        <v>23</v>
      </c>
      <c r="I519" s="15" t="s">
        <v>78</v>
      </c>
    </row>
    <row r="520" spans="1:9" x14ac:dyDescent="0.2">
      <c r="A520" s="14">
        <v>2013</v>
      </c>
      <c r="B520" s="14" t="s">
        <v>168</v>
      </c>
      <c r="C520" s="14" t="s">
        <v>169</v>
      </c>
      <c r="D520" s="15" t="s">
        <v>23</v>
      </c>
      <c r="E520" s="15" t="s">
        <v>22</v>
      </c>
      <c r="F520" s="15" t="s">
        <v>59</v>
      </c>
      <c r="G520" s="15" t="s">
        <v>59</v>
      </c>
      <c r="H520" s="15" t="s">
        <v>23</v>
      </c>
      <c r="I520" s="15" t="s">
        <v>78</v>
      </c>
    </row>
    <row r="521" spans="1:9" x14ac:dyDescent="0.2">
      <c r="A521" s="14">
        <v>2014</v>
      </c>
      <c r="B521" s="14" t="s">
        <v>168</v>
      </c>
      <c r="C521" s="14" t="s">
        <v>169</v>
      </c>
      <c r="D521" s="15" t="s">
        <v>23</v>
      </c>
      <c r="E521" s="15" t="s">
        <v>22</v>
      </c>
      <c r="F521" s="15" t="s">
        <v>59</v>
      </c>
      <c r="G521" s="15" t="s">
        <v>59</v>
      </c>
      <c r="H521" s="15" t="s">
        <v>23</v>
      </c>
      <c r="I521" s="15" t="s">
        <v>78</v>
      </c>
    </row>
    <row r="522" spans="1:9" x14ac:dyDescent="0.2">
      <c r="A522" s="14">
        <v>2015</v>
      </c>
      <c r="B522" s="14" t="s">
        <v>168</v>
      </c>
      <c r="C522" s="14" t="s">
        <v>169</v>
      </c>
      <c r="D522" s="15" t="s">
        <v>23</v>
      </c>
      <c r="E522" s="15" t="s">
        <v>22</v>
      </c>
      <c r="F522" s="15" t="s">
        <v>59</v>
      </c>
      <c r="G522" s="15" t="s">
        <v>59</v>
      </c>
      <c r="H522" s="15" t="s">
        <v>23</v>
      </c>
      <c r="I522" s="15" t="s">
        <v>78</v>
      </c>
    </row>
    <row r="523" spans="1:9" x14ac:dyDescent="0.2">
      <c r="A523" s="14">
        <v>2016</v>
      </c>
      <c r="B523" s="14" t="s">
        <v>168</v>
      </c>
      <c r="C523" s="14" t="s">
        <v>169</v>
      </c>
      <c r="D523" s="15" t="s">
        <v>23</v>
      </c>
      <c r="E523" s="15" t="s">
        <v>24</v>
      </c>
      <c r="F523" s="15" t="s">
        <v>59</v>
      </c>
      <c r="G523" s="15" t="s">
        <v>59</v>
      </c>
      <c r="H523" s="15" t="s">
        <v>23</v>
      </c>
      <c r="I523" s="15" t="s">
        <v>78</v>
      </c>
    </row>
    <row r="524" spans="1:9" x14ac:dyDescent="0.2">
      <c r="A524" s="14">
        <v>2017</v>
      </c>
      <c r="B524" s="14" t="s">
        <v>168</v>
      </c>
      <c r="C524" s="14" t="s">
        <v>169</v>
      </c>
      <c r="D524" s="15" t="s">
        <v>17</v>
      </c>
      <c r="E524" s="15" t="s">
        <v>24</v>
      </c>
      <c r="F524" s="15" t="s">
        <v>16</v>
      </c>
      <c r="G524" s="15" t="s">
        <v>59</v>
      </c>
      <c r="H524" s="15" t="s">
        <v>23</v>
      </c>
      <c r="I524" s="15" t="s">
        <v>78</v>
      </c>
    </row>
    <row r="525" spans="1:9" x14ac:dyDescent="0.2">
      <c r="A525" s="14">
        <v>2018</v>
      </c>
      <c r="B525" s="14" t="s">
        <v>168</v>
      </c>
      <c r="C525" s="14" t="s">
        <v>169</v>
      </c>
      <c r="D525" s="15" t="s">
        <v>23</v>
      </c>
      <c r="E525" s="15" t="s">
        <v>24</v>
      </c>
      <c r="F525" s="15" t="s">
        <v>59</v>
      </c>
      <c r="G525" s="15" t="s">
        <v>59</v>
      </c>
      <c r="H525" s="15" t="s">
        <v>15</v>
      </c>
      <c r="I525" s="15" t="s">
        <v>78</v>
      </c>
    </row>
    <row r="526" spans="1:9" x14ac:dyDescent="0.2">
      <c r="A526" s="14">
        <v>2019</v>
      </c>
      <c r="B526" s="14" t="s">
        <v>168</v>
      </c>
      <c r="C526" s="14" t="s">
        <v>169</v>
      </c>
      <c r="D526" s="15" t="s">
        <v>17</v>
      </c>
      <c r="E526" s="15" t="s">
        <v>24</v>
      </c>
      <c r="F526" s="15" t="s">
        <v>16</v>
      </c>
      <c r="G526" s="15" t="s">
        <v>59</v>
      </c>
      <c r="H526" s="15" t="s">
        <v>15</v>
      </c>
      <c r="I526" s="15" t="s">
        <v>78</v>
      </c>
    </row>
    <row r="527" spans="1:9" x14ac:dyDescent="0.2">
      <c r="A527" s="14">
        <v>2020</v>
      </c>
      <c r="B527" s="14" t="s">
        <v>168</v>
      </c>
      <c r="C527" s="14" t="s">
        <v>169</v>
      </c>
      <c r="D527" s="15" t="s">
        <v>23</v>
      </c>
      <c r="E527" s="15" t="s">
        <v>22</v>
      </c>
      <c r="F527" s="15" t="s">
        <v>16</v>
      </c>
      <c r="G527" s="15" t="s">
        <v>59</v>
      </c>
      <c r="H527" s="15" t="s">
        <v>15</v>
      </c>
      <c r="I527" s="15" t="s">
        <v>71</v>
      </c>
    </row>
    <row r="528" spans="1:9" x14ac:dyDescent="0.2">
      <c r="A528" s="14">
        <v>2021</v>
      </c>
      <c r="B528" s="14" t="s">
        <v>168</v>
      </c>
      <c r="C528" s="14" t="s">
        <v>169</v>
      </c>
      <c r="D528" s="15" t="s">
        <v>23</v>
      </c>
      <c r="E528" s="15">
        <v>9700</v>
      </c>
      <c r="F528" s="15" t="s">
        <v>59</v>
      </c>
      <c r="G528" s="15" t="s">
        <v>62</v>
      </c>
      <c r="H528" s="15" t="s">
        <v>24</v>
      </c>
      <c r="I528" s="15" t="s">
        <v>49</v>
      </c>
    </row>
    <row r="529" spans="1:9" x14ac:dyDescent="0.2">
      <c r="A529" s="14">
        <v>2022</v>
      </c>
      <c r="B529" s="14" t="s">
        <v>168</v>
      </c>
      <c r="C529" s="14" t="s">
        <v>169</v>
      </c>
      <c r="D529" s="15" t="s">
        <v>15</v>
      </c>
      <c r="E529" s="15">
        <v>8900</v>
      </c>
      <c r="F529" s="15" t="s">
        <v>62</v>
      </c>
      <c r="G529" s="15" t="s">
        <v>60</v>
      </c>
      <c r="H529" s="15" t="s">
        <v>24</v>
      </c>
      <c r="I529" s="15" t="s">
        <v>49</v>
      </c>
    </row>
    <row r="530" spans="1:9" x14ac:dyDescent="0.2">
      <c r="A530" s="14">
        <v>2023</v>
      </c>
      <c r="B530" s="14" t="s">
        <v>168</v>
      </c>
      <c r="C530" s="14" t="s">
        <v>169</v>
      </c>
      <c r="D530" s="15" t="s">
        <v>24</v>
      </c>
      <c r="E530" s="15">
        <v>8400</v>
      </c>
      <c r="F530" s="15" t="s">
        <v>60</v>
      </c>
      <c r="G530" s="15" t="s">
        <v>60</v>
      </c>
      <c r="H530" s="15" t="s">
        <v>22</v>
      </c>
      <c r="I530" s="15" t="s">
        <v>49</v>
      </c>
    </row>
    <row r="531" spans="1:9" x14ac:dyDescent="0.2">
      <c r="A531" s="14">
        <v>2024</v>
      </c>
      <c r="B531" s="14" t="s">
        <v>168</v>
      </c>
      <c r="C531" s="14" t="s">
        <v>169</v>
      </c>
      <c r="D531" s="15" t="s">
        <v>24</v>
      </c>
      <c r="E531" s="15">
        <v>8300</v>
      </c>
      <c r="F531" s="15" t="s">
        <v>62</v>
      </c>
      <c r="G531" s="15" t="s">
        <v>17</v>
      </c>
      <c r="H531" s="15">
        <v>9200</v>
      </c>
      <c r="I531" s="15" t="s">
        <v>78</v>
      </c>
    </row>
    <row r="532" spans="1:9" x14ac:dyDescent="0.2">
      <c r="A532" s="14">
        <v>1990</v>
      </c>
      <c r="B532" s="14" t="s">
        <v>171</v>
      </c>
      <c r="C532" s="14" t="s">
        <v>172</v>
      </c>
      <c r="D532" s="15" t="s">
        <v>32</v>
      </c>
      <c r="E532" s="15" t="s">
        <v>30</v>
      </c>
      <c r="F532" s="15">
        <v>630</v>
      </c>
      <c r="G532" s="15">
        <v>3000</v>
      </c>
      <c r="H532" s="15">
        <v>1300</v>
      </c>
      <c r="I532" s="15">
        <v>4600</v>
      </c>
    </row>
    <row r="533" spans="1:9" x14ac:dyDescent="0.2">
      <c r="A533" s="14">
        <v>1991</v>
      </c>
      <c r="B533" s="14" t="s">
        <v>171</v>
      </c>
      <c r="C533" s="14" t="s">
        <v>172</v>
      </c>
      <c r="D533" s="15" t="s">
        <v>32</v>
      </c>
      <c r="E533" s="15" t="s">
        <v>31</v>
      </c>
      <c r="F533" s="15">
        <v>800</v>
      </c>
      <c r="G533" s="15">
        <v>3700</v>
      </c>
      <c r="H533" s="15">
        <v>1800</v>
      </c>
      <c r="I533" s="15">
        <v>5500</v>
      </c>
    </row>
    <row r="534" spans="1:9" x14ac:dyDescent="0.2">
      <c r="A534" s="14">
        <v>1992</v>
      </c>
      <c r="B534" s="14" t="s">
        <v>171</v>
      </c>
      <c r="C534" s="14" t="s">
        <v>172</v>
      </c>
      <c r="D534" s="15">
        <v>560</v>
      </c>
      <c r="E534" s="15" t="s">
        <v>31</v>
      </c>
      <c r="F534" s="15">
        <v>1000</v>
      </c>
      <c r="G534" s="15">
        <v>4600</v>
      </c>
      <c r="H534" s="15">
        <v>2500</v>
      </c>
      <c r="I534" s="15">
        <v>6500</v>
      </c>
    </row>
    <row r="535" spans="1:9" x14ac:dyDescent="0.2">
      <c r="A535" s="14">
        <v>1993</v>
      </c>
      <c r="B535" s="14" t="s">
        <v>171</v>
      </c>
      <c r="C535" s="14" t="s">
        <v>172</v>
      </c>
      <c r="D535" s="15">
        <v>730</v>
      </c>
      <c r="E535" s="15" t="s">
        <v>32</v>
      </c>
      <c r="F535" s="15">
        <v>1300</v>
      </c>
      <c r="G535" s="15">
        <v>5500</v>
      </c>
      <c r="H535" s="15">
        <v>3200</v>
      </c>
      <c r="I535" s="15">
        <v>7700</v>
      </c>
    </row>
    <row r="536" spans="1:9" x14ac:dyDescent="0.2">
      <c r="A536" s="14">
        <v>1994</v>
      </c>
      <c r="B536" s="14" t="s">
        <v>171</v>
      </c>
      <c r="C536" s="14" t="s">
        <v>172</v>
      </c>
      <c r="D536" s="15">
        <v>930</v>
      </c>
      <c r="E536" s="15" t="s">
        <v>32</v>
      </c>
      <c r="F536" s="15">
        <v>1600</v>
      </c>
      <c r="G536" s="15">
        <v>6300</v>
      </c>
      <c r="H536" s="15">
        <v>4000</v>
      </c>
      <c r="I536" s="15">
        <v>8700</v>
      </c>
    </row>
    <row r="537" spans="1:9" x14ac:dyDescent="0.2">
      <c r="A537" s="14">
        <v>1995</v>
      </c>
      <c r="B537" s="14" t="s">
        <v>171</v>
      </c>
      <c r="C537" s="14" t="s">
        <v>172</v>
      </c>
      <c r="D537" s="15">
        <v>1200</v>
      </c>
      <c r="E537" s="15">
        <v>520</v>
      </c>
      <c r="F537" s="15">
        <v>1900</v>
      </c>
      <c r="G537" s="15">
        <v>7100</v>
      </c>
      <c r="H537" s="15">
        <v>5000</v>
      </c>
      <c r="I537" s="15">
        <v>9300</v>
      </c>
    </row>
    <row r="538" spans="1:9" x14ac:dyDescent="0.2">
      <c r="A538" s="14">
        <v>1996</v>
      </c>
      <c r="B538" s="14" t="s">
        <v>171</v>
      </c>
      <c r="C538" s="14" t="s">
        <v>172</v>
      </c>
      <c r="D538" s="15">
        <v>1500</v>
      </c>
      <c r="E538" s="15">
        <v>690</v>
      </c>
      <c r="F538" s="15">
        <v>2200</v>
      </c>
      <c r="G538" s="15">
        <v>7900</v>
      </c>
      <c r="H538" s="15">
        <v>6300</v>
      </c>
      <c r="I538" s="15" t="s">
        <v>22</v>
      </c>
    </row>
    <row r="539" spans="1:9" x14ac:dyDescent="0.2">
      <c r="A539" s="14">
        <v>1997</v>
      </c>
      <c r="B539" s="14" t="s">
        <v>171</v>
      </c>
      <c r="C539" s="14" t="s">
        <v>172</v>
      </c>
      <c r="D539" s="15">
        <v>1800</v>
      </c>
      <c r="E539" s="15">
        <v>940</v>
      </c>
      <c r="F539" s="15">
        <v>2600</v>
      </c>
      <c r="G539" s="15">
        <v>8400</v>
      </c>
      <c r="H539" s="15">
        <v>6900</v>
      </c>
      <c r="I539" s="15" t="s">
        <v>24</v>
      </c>
    </row>
    <row r="540" spans="1:9" x14ac:dyDescent="0.2">
      <c r="A540" s="14">
        <v>1998</v>
      </c>
      <c r="B540" s="14" t="s">
        <v>171</v>
      </c>
      <c r="C540" s="14" t="s">
        <v>172</v>
      </c>
      <c r="D540" s="15">
        <v>2100</v>
      </c>
      <c r="E540" s="15">
        <v>1200</v>
      </c>
      <c r="F540" s="15">
        <v>3000</v>
      </c>
      <c r="G540" s="15">
        <v>8600</v>
      </c>
      <c r="H540" s="15">
        <v>7100</v>
      </c>
      <c r="I540" s="15" t="s">
        <v>24</v>
      </c>
    </row>
    <row r="541" spans="1:9" x14ac:dyDescent="0.2">
      <c r="A541" s="14">
        <v>1999</v>
      </c>
      <c r="B541" s="14" t="s">
        <v>171</v>
      </c>
      <c r="C541" s="14" t="s">
        <v>172</v>
      </c>
      <c r="D541" s="15">
        <v>2500</v>
      </c>
      <c r="E541" s="15">
        <v>1500</v>
      </c>
      <c r="F541" s="15">
        <v>3400</v>
      </c>
      <c r="G541" s="15">
        <v>8900</v>
      </c>
      <c r="H541" s="15">
        <v>7300</v>
      </c>
      <c r="I541" s="15" t="s">
        <v>24</v>
      </c>
    </row>
    <row r="542" spans="1:9" x14ac:dyDescent="0.2">
      <c r="A542" s="14">
        <v>2000</v>
      </c>
      <c r="B542" s="14" t="s">
        <v>171</v>
      </c>
      <c r="C542" s="14" t="s">
        <v>172</v>
      </c>
      <c r="D542" s="15">
        <v>2800</v>
      </c>
      <c r="E542" s="15">
        <v>1900</v>
      </c>
      <c r="F542" s="15">
        <v>3800</v>
      </c>
      <c r="G542" s="15">
        <v>8900</v>
      </c>
      <c r="H542" s="15">
        <v>7300</v>
      </c>
      <c r="I542" s="15" t="s">
        <v>24</v>
      </c>
    </row>
    <row r="543" spans="1:9" x14ac:dyDescent="0.2">
      <c r="A543" s="14">
        <v>2001</v>
      </c>
      <c r="B543" s="14" t="s">
        <v>171</v>
      </c>
      <c r="C543" s="14" t="s">
        <v>172</v>
      </c>
      <c r="D543" s="15">
        <v>3200</v>
      </c>
      <c r="E543" s="15">
        <v>2200</v>
      </c>
      <c r="F543" s="15">
        <v>4200</v>
      </c>
      <c r="G543" s="15">
        <v>8900</v>
      </c>
      <c r="H543" s="15">
        <v>7200</v>
      </c>
      <c r="I543" s="15" t="s">
        <v>24</v>
      </c>
    </row>
    <row r="544" spans="1:9" x14ac:dyDescent="0.2">
      <c r="A544" s="14">
        <v>2002</v>
      </c>
      <c r="B544" s="14" t="s">
        <v>171</v>
      </c>
      <c r="C544" s="14" t="s">
        <v>172</v>
      </c>
      <c r="D544" s="15">
        <v>3500</v>
      </c>
      <c r="E544" s="15">
        <v>2500</v>
      </c>
      <c r="F544" s="15">
        <v>4600</v>
      </c>
      <c r="G544" s="15">
        <v>8500</v>
      </c>
      <c r="H544" s="15">
        <v>7000</v>
      </c>
      <c r="I544" s="15" t="s">
        <v>22</v>
      </c>
    </row>
    <row r="545" spans="1:9" x14ac:dyDescent="0.2">
      <c r="A545" s="14">
        <v>2003</v>
      </c>
      <c r="B545" s="14" t="s">
        <v>171</v>
      </c>
      <c r="C545" s="14" t="s">
        <v>172</v>
      </c>
      <c r="D545" s="15">
        <v>3800</v>
      </c>
      <c r="E545" s="15">
        <v>2900</v>
      </c>
      <c r="F545" s="15">
        <v>5000</v>
      </c>
      <c r="G545" s="15">
        <v>8500</v>
      </c>
      <c r="H545" s="15">
        <v>7100</v>
      </c>
      <c r="I545" s="15" t="s">
        <v>22</v>
      </c>
    </row>
    <row r="546" spans="1:9" x14ac:dyDescent="0.2">
      <c r="A546" s="14">
        <v>2004</v>
      </c>
      <c r="B546" s="14" t="s">
        <v>171</v>
      </c>
      <c r="C546" s="14" t="s">
        <v>172</v>
      </c>
      <c r="D546" s="15">
        <v>4200</v>
      </c>
      <c r="E546" s="15">
        <v>3300</v>
      </c>
      <c r="F546" s="15">
        <v>5400</v>
      </c>
      <c r="G546" s="15">
        <v>8200</v>
      </c>
      <c r="H546" s="15">
        <v>7000</v>
      </c>
      <c r="I546" s="15">
        <v>9900</v>
      </c>
    </row>
    <row r="547" spans="1:9" x14ac:dyDescent="0.2">
      <c r="A547" s="14">
        <v>2005</v>
      </c>
      <c r="B547" s="14" t="s">
        <v>171</v>
      </c>
      <c r="C547" s="14" t="s">
        <v>172</v>
      </c>
      <c r="D547" s="15">
        <v>4300</v>
      </c>
      <c r="E547" s="15">
        <v>3400</v>
      </c>
      <c r="F547" s="15">
        <v>5600</v>
      </c>
      <c r="G547" s="15">
        <v>8300</v>
      </c>
      <c r="H547" s="15">
        <v>7000</v>
      </c>
      <c r="I547" s="15">
        <v>9900</v>
      </c>
    </row>
    <row r="548" spans="1:9" x14ac:dyDescent="0.2">
      <c r="A548" s="14">
        <v>2006</v>
      </c>
      <c r="B548" s="14" t="s">
        <v>171</v>
      </c>
      <c r="C548" s="14" t="s">
        <v>172</v>
      </c>
      <c r="D548" s="15">
        <v>4100</v>
      </c>
      <c r="E548" s="15">
        <v>3200</v>
      </c>
      <c r="F548" s="15">
        <v>5200</v>
      </c>
      <c r="G548" s="15">
        <v>8000</v>
      </c>
      <c r="H548" s="15">
        <v>6700</v>
      </c>
      <c r="I548" s="15">
        <v>9800</v>
      </c>
    </row>
    <row r="549" spans="1:9" x14ac:dyDescent="0.2">
      <c r="A549" s="14">
        <v>2007</v>
      </c>
      <c r="B549" s="14" t="s">
        <v>171</v>
      </c>
      <c r="C549" s="14" t="s">
        <v>172</v>
      </c>
      <c r="D549" s="15">
        <v>4000</v>
      </c>
      <c r="E549" s="15">
        <v>3100</v>
      </c>
      <c r="F549" s="15">
        <v>5100</v>
      </c>
      <c r="G549" s="15">
        <v>8100</v>
      </c>
      <c r="H549" s="15">
        <v>6700</v>
      </c>
      <c r="I549" s="15" t="s">
        <v>22</v>
      </c>
    </row>
    <row r="550" spans="1:9" x14ac:dyDescent="0.2">
      <c r="A550" s="14">
        <v>2008</v>
      </c>
      <c r="B550" s="14" t="s">
        <v>171</v>
      </c>
      <c r="C550" s="14" t="s">
        <v>172</v>
      </c>
      <c r="D550" s="15">
        <v>3900</v>
      </c>
      <c r="E550" s="15">
        <v>3000</v>
      </c>
      <c r="F550" s="15">
        <v>5000</v>
      </c>
      <c r="G550" s="15">
        <v>7900</v>
      </c>
      <c r="H550" s="15">
        <v>6400</v>
      </c>
      <c r="I550" s="15">
        <v>9700</v>
      </c>
    </row>
    <row r="551" spans="1:9" x14ac:dyDescent="0.2">
      <c r="A551" s="14">
        <v>2009</v>
      </c>
      <c r="B551" s="14" t="s">
        <v>171</v>
      </c>
      <c r="C551" s="14" t="s">
        <v>172</v>
      </c>
      <c r="D551" s="15">
        <v>3300</v>
      </c>
      <c r="E551" s="15">
        <v>2500</v>
      </c>
      <c r="F551" s="15">
        <v>4300</v>
      </c>
      <c r="G551" s="15">
        <v>7700</v>
      </c>
      <c r="H551" s="15">
        <v>6300</v>
      </c>
      <c r="I551" s="15">
        <v>9700</v>
      </c>
    </row>
    <row r="552" spans="1:9" x14ac:dyDescent="0.2">
      <c r="A552" s="14">
        <v>2010</v>
      </c>
      <c r="B552" s="14" t="s">
        <v>171</v>
      </c>
      <c r="C552" s="14" t="s">
        <v>172</v>
      </c>
      <c r="D552" s="15">
        <v>2800</v>
      </c>
      <c r="E552" s="15">
        <v>2100</v>
      </c>
      <c r="F552" s="15">
        <v>3800</v>
      </c>
      <c r="G552" s="15">
        <v>7500</v>
      </c>
      <c r="H552" s="15">
        <v>6000</v>
      </c>
      <c r="I552" s="15">
        <v>9400</v>
      </c>
    </row>
    <row r="553" spans="1:9" x14ac:dyDescent="0.2">
      <c r="A553" s="14">
        <v>2011</v>
      </c>
      <c r="B553" s="14" t="s">
        <v>171</v>
      </c>
      <c r="C553" s="14" t="s">
        <v>172</v>
      </c>
      <c r="D553" s="15">
        <v>2900</v>
      </c>
      <c r="E553" s="15">
        <v>2100</v>
      </c>
      <c r="F553" s="15">
        <v>4000</v>
      </c>
      <c r="G553" s="15">
        <v>7200</v>
      </c>
      <c r="H553" s="15">
        <v>5800</v>
      </c>
      <c r="I553" s="15">
        <v>9400</v>
      </c>
    </row>
    <row r="554" spans="1:9" x14ac:dyDescent="0.2">
      <c r="A554" s="14">
        <v>2012</v>
      </c>
      <c r="B554" s="14" t="s">
        <v>171</v>
      </c>
      <c r="C554" s="14" t="s">
        <v>172</v>
      </c>
      <c r="D554" s="15">
        <v>3000</v>
      </c>
      <c r="E554" s="15">
        <v>2200</v>
      </c>
      <c r="F554" s="15">
        <v>4100</v>
      </c>
      <c r="G554" s="15">
        <v>6900</v>
      </c>
      <c r="H554" s="15">
        <v>5400</v>
      </c>
      <c r="I554" s="15">
        <v>9100</v>
      </c>
    </row>
    <row r="555" spans="1:9" x14ac:dyDescent="0.2">
      <c r="A555" s="14">
        <v>2013</v>
      </c>
      <c r="B555" s="14" t="s">
        <v>171</v>
      </c>
      <c r="C555" s="14" t="s">
        <v>172</v>
      </c>
      <c r="D555" s="15">
        <v>3300</v>
      </c>
      <c r="E555" s="15">
        <v>2400</v>
      </c>
      <c r="F555" s="15">
        <v>4500</v>
      </c>
      <c r="G555" s="15">
        <v>6700</v>
      </c>
      <c r="H555" s="15">
        <v>5100</v>
      </c>
      <c r="I555" s="15">
        <v>8700</v>
      </c>
    </row>
    <row r="556" spans="1:9" x14ac:dyDescent="0.2">
      <c r="A556" s="14">
        <v>2014</v>
      </c>
      <c r="B556" s="14" t="s">
        <v>171</v>
      </c>
      <c r="C556" s="14" t="s">
        <v>172</v>
      </c>
      <c r="D556" s="15">
        <v>3600</v>
      </c>
      <c r="E556" s="15">
        <v>2700</v>
      </c>
      <c r="F556" s="15">
        <v>4900</v>
      </c>
      <c r="G556" s="15">
        <v>6900</v>
      </c>
      <c r="H556" s="15">
        <v>5100</v>
      </c>
      <c r="I556" s="15">
        <v>9000</v>
      </c>
    </row>
    <row r="557" spans="1:9" x14ac:dyDescent="0.2">
      <c r="A557" s="14">
        <v>2015</v>
      </c>
      <c r="B557" s="14" t="s">
        <v>171</v>
      </c>
      <c r="C557" s="14" t="s">
        <v>172</v>
      </c>
      <c r="D557" s="15">
        <v>3800</v>
      </c>
      <c r="E557" s="15">
        <v>2900</v>
      </c>
      <c r="F557" s="15">
        <v>5100</v>
      </c>
      <c r="G557" s="15">
        <v>6600</v>
      </c>
      <c r="H557" s="15">
        <v>5000</v>
      </c>
      <c r="I557" s="15">
        <v>8700</v>
      </c>
    </row>
    <row r="558" spans="1:9" x14ac:dyDescent="0.2">
      <c r="A558" s="14">
        <v>2016</v>
      </c>
      <c r="B558" s="14" t="s">
        <v>171</v>
      </c>
      <c r="C558" s="14" t="s">
        <v>172</v>
      </c>
      <c r="D558" s="15">
        <v>4000</v>
      </c>
      <c r="E558" s="15">
        <v>3100</v>
      </c>
      <c r="F558" s="15">
        <v>5400</v>
      </c>
      <c r="G558" s="15">
        <v>6300</v>
      </c>
      <c r="H558" s="15">
        <v>4600</v>
      </c>
      <c r="I558" s="15">
        <v>8400</v>
      </c>
    </row>
    <row r="559" spans="1:9" x14ac:dyDescent="0.2">
      <c r="A559" s="14">
        <v>2017</v>
      </c>
      <c r="B559" s="14" t="s">
        <v>171</v>
      </c>
      <c r="C559" s="14" t="s">
        <v>172</v>
      </c>
      <c r="D559" s="15">
        <v>4000</v>
      </c>
      <c r="E559" s="15">
        <v>3000</v>
      </c>
      <c r="F559" s="15">
        <v>5300</v>
      </c>
      <c r="G559" s="15">
        <v>6300</v>
      </c>
      <c r="H559" s="15">
        <v>4600</v>
      </c>
      <c r="I559" s="15">
        <v>8400</v>
      </c>
    </row>
    <row r="560" spans="1:9" x14ac:dyDescent="0.2">
      <c r="A560" s="14">
        <v>2018</v>
      </c>
      <c r="B560" s="14" t="s">
        <v>171</v>
      </c>
      <c r="C560" s="14" t="s">
        <v>172</v>
      </c>
      <c r="D560" s="15">
        <v>4100</v>
      </c>
      <c r="E560" s="15">
        <v>3100</v>
      </c>
      <c r="F560" s="15">
        <v>5400</v>
      </c>
      <c r="G560" s="15">
        <v>6200</v>
      </c>
      <c r="H560" s="15">
        <v>4400</v>
      </c>
      <c r="I560" s="15">
        <v>8300</v>
      </c>
    </row>
    <row r="561" spans="1:9" x14ac:dyDescent="0.2">
      <c r="A561" s="14">
        <v>2019</v>
      </c>
      <c r="B561" s="14" t="s">
        <v>171</v>
      </c>
      <c r="C561" s="14" t="s">
        <v>172</v>
      </c>
      <c r="D561" s="15">
        <v>4000</v>
      </c>
      <c r="E561" s="15">
        <v>3000</v>
      </c>
      <c r="F561" s="15">
        <v>5200</v>
      </c>
      <c r="G561" s="15">
        <v>5800</v>
      </c>
      <c r="H561" s="15">
        <v>4000</v>
      </c>
      <c r="I561" s="15">
        <v>8100</v>
      </c>
    </row>
    <row r="562" spans="1:9" x14ac:dyDescent="0.2">
      <c r="A562" s="14">
        <v>2020</v>
      </c>
      <c r="B562" s="14" t="s">
        <v>171</v>
      </c>
      <c r="C562" s="14" t="s">
        <v>172</v>
      </c>
      <c r="D562" s="15">
        <v>3500</v>
      </c>
      <c r="E562" s="15">
        <v>2600</v>
      </c>
      <c r="F562" s="15">
        <v>4700</v>
      </c>
      <c r="G562" s="15">
        <v>5400</v>
      </c>
      <c r="H562" s="15">
        <v>3600</v>
      </c>
      <c r="I562" s="15">
        <v>7700</v>
      </c>
    </row>
    <row r="563" spans="1:9" x14ac:dyDescent="0.2">
      <c r="A563" s="14">
        <v>2021</v>
      </c>
      <c r="B563" s="14" t="s">
        <v>171</v>
      </c>
      <c r="C563" s="14" t="s">
        <v>172</v>
      </c>
      <c r="D563" s="15">
        <v>3200</v>
      </c>
      <c r="E563" s="15">
        <v>2400</v>
      </c>
      <c r="F563" s="15">
        <v>4400</v>
      </c>
      <c r="G563" s="15">
        <v>5100</v>
      </c>
      <c r="H563" s="15">
        <v>3300</v>
      </c>
      <c r="I563" s="15">
        <v>7400</v>
      </c>
    </row>
    <row r="564" spans="1:9" x14ac:dyDescent="0.2">
      <c r="A564" s="14">
        <v>2022</v>
      </c>
      <c r="B564" s="14" t="s">
        <v>171</v>
      </c>
      <c r="C564" s="14" t="s">
        <v>172</v>
      </c>
      <c r="D564" s="15">
        <v>2900</v>
      </c>
      <c r="E564" s="15">
        <v>2200</v>
      </c>
      <c r="F564" s="15">
        <v>4000</v>
      </c>
      <c r="G564" s="15">
        <v>4500</v>
      </c>
      <c r="H564" s="15">
        <v>2600</v>
      </c>
      <c r="I564" s="15">
        <v>6900</v>
      </c>
    </row>
    <row r="565" spans="1:9" x14ac:dyDescent="0.2">
      <c r="A565" s="14">
        <v>2023</v>
      </c>
      <c r="B565" s="14" t="s">
        <v>171</v>
      </c>
      <c r="C565" s="14" t="s">
        <v>172</v>
      </c>
      <c r="D565" s="15">
        <v>2500</v>
      </c>
      <c r="E565" s="15">
        <v>1900</v>
      </c>
      <c r="F565" s="15">
        <v>3500</v>
      </c>
      <c r="G565" s="15">
        <v>4000</v>
      </c>
      <c r="H565" s="15">
        <v>2200</v>
      </c>
      <c r="I565" s="15">
        <v>6400</v>
      </c>
    </row>
    <row r="566" spans="1:9" x14ac:dyDescent="0.2">
      <c r="A566" s="14">
        <v>2024</v>
      </c>
      <c r="B566" s="14" t="s">
        <v>171</v>
      </c>
      <c r="C566" s="14" t="s">
        <v>172</v>
      </c>
      <c r="D566" s="15">
        <v>2400</v>
      </c>
      <c r="E566" s="15">
        <v>1700</v>
      </c>
      <c r="F566" s="15">
        <v>3300</v>
      </c>
      <c r="G566" s="15">
        <v>3700</v>
      </c>
      <c r="H566" s="15">
        <v>1900</v>
      </c>
      <c r="I566" s="15">
        <v>6100</v>
      </c>
    </row>
    <row r="567" spans="1:9" x14ac:dyDescent="0.2">
      <c r="A567" s="14">
        <v>1990</v>
      </c>
      <c r="B567" s="14" t="s">
        <v>173</v>
      </c>
      <c r="C567" s="14" t="s">
        <v>174</v>
      </c>
      <c r="D567" s="15" t="s">
        <v>30</v>
      </c>
      <c r="E567" s="15" t="s">
        <v>30</v>
      </c>
      <c r="F567" s="15" t="s">
        <v>30</v>
      </c>
      <c r="G567" s="15" t="s">
        <v>32</v>
      </c>
      <c r="H567" s="15" t="s">
        <v>32</v>
      </c>
      <c r="I567" s="15">
        <v>570</v>
      </c>
    </row>
    <row r="568" spans="1:9" x14ac:dyDescent="0.2">
      <c r="A568" s="14">
        <v>1991</v>
      </c>
      <c r="B568" s="14" t="s">
        <v>173</v>
      </c>
      <c r="C568" s="14" t="s">
        <v>174</v>
      </c>
      <c r="D568" s="15" t="s">
        <v>30</v>
      </c>
      <c r="E568" s="15" t="s">
        <v>30</v>
      </c>
      <c r="F568" s="15" t="s">
        <v>30</v>
      </c>
      <c r="G568" s="15">
        <v>540</v>
      </c>
      <c r="H568" s="15" t="s">
        <v>32</v>
      </c>
      <c r="I568" s="15">
        <v>790</v>
      </c>
    </row>
    <row r="569" spans="1:9" x14ac:dyDescent="0.2">
      <c r="A569" s="14">
        <v>1992</v>
      </c>
      <c r="B569" s="14" t="s">
        <v>173</v>
      </c>
      <c r="C569" s="14" t="s">
        <v>174</v>
      </c>
      <c r="D569" s="15" t="s">
        <v>30</v>
      </c>
      <c r="E569" s="15" t="s">
        <v>30</v>
      </c>
      <c r="F569" s="15" t="s">
        <v>30</v>
      </c>
      <c r="G569" s="15">
        <v>760</v>
      </c>
      <c r="H569" s="15" t="s">
        <v>32</v>
      </c>
      <c r="I569" s="15">
        <v>1100</v>
      </c>
    </row>
    <row r="570" spans="1:9" x14ac:dyDescent="0.2">
      <c r="A570" s="14">
        <v>1993</v>
      </c>
      <c r="B570" s="14" t="s">
        <v>173</v>
      </c>
      <c r="C570" s="14" t="s">
        <v>174</v>
      </c>
      <c r="D570" s="15" t="s">
        <v>30</v>
      </c>
      <c r="E570" s="15" t="s">
        <v>30</v>
      </c>
      <c r="F570" s="15" t="s">
        <v>31</v>
      </c>
      <c r="G570" s="15">
        <v>1100</v>
      </c>
      <c r="H570" s="15">
        <v>710</v>
      </c>
      <c r="I570" s="15">
        <v>1400</v>
      </c>
    </row>
    <row r="571" spans="1:9" x14ac:dyDescent="0.2">
      <c r="A571" s="14">
        <v>1994</v>
      </c>
      <c r="B571" s="14" t="s">
        <v>173</v>
      </c>
      <c r="C571" s="14" t="s">
        <v>174</v>
      </c>
      <c r="D571" s="15" t="s">
        <v>31</v>
      </c>
      <c r="E571" s="15" t="s">
        <v>30</v>
      </c>
      <c r="F571" s="15" t="s">
        <v>31</v>
      </c>
      <c r="G571" s="15">
        <v>1500</v>
      </c>
      <c r="H571" s="15">
        <v>1000</v>
      </c>
      <c r="I571" s="15">
        <v>2000</v>
      </c>
    </row>
    <row r="572" spans="1:9" x14ac:dyDescent="0.2">
      <c r="A572" s="14">
        <v>1995</v>
      </c>
      <c r="B572" s="14" t="s">
        <v>173</v>
      </c>
      <c r="C572" s="14" t="s">
        <v>174</v>
      </c>
      <c r="D572" s="15" t="s">
        <v>31</v>
      </c>
      <c r="E572" s="15" t="s">
        <v>31</v>
      </c>
      <c r="F572" s="15" t="s">
        <v>32</v>
      </c>
      <c r="G572" s="15">
        <v>2200</v>
      </c>
      <c r="H572" s="15">
        <v>1500</v>
      </c>
      <c r="I572" s="15">
        <v>2700</v>
      </c>
    </row>
    <row r="573" spans="1:9" x14ac:dyDescent="0.2">
      <c r="A573" s="14">
        <v>1996</v>
      </c>
      <c r="B573" s="14" t="s">
        <v>173</v>
      </c>
      <c r="C573" s="14" t="s">
        <v>174</v>
      </c>
      <c r="D573" s="15" t="s">
        <v>32</v>
      </c>
      <c r="E573" s="15" t="s">
        <v>31</v>
      </c>
      <c r="F573" s="15" t="s">
        <v>32</v>
      </c>
      <c r="G573" s="15">
        <v>2900</v>
      </c>
      <c r="H573" s="15">
        <v>2100</v>
      </c>
      <c r="I573" s="15">
        <v>3600</v>
      </c>
    </row>
    <row r="574" spans="1:9" x14ac:dyDescent="0.2">
      <c r="A574" s="14">
        <v>1997</v>
      </c>
      <c r="B574" s="14" t="s">
        <v>173</v>
      </c>
      <c r="C574" s="14" t="s">
        <v>174</v>
      </c>
      <c r="D574" s="15" t="s">
        <v>32</v>
      </c>
      <c r="E574" s="15" t="s">
        <v>32</v>
      </c>
      <c r="F574" s="15" t="s">
        <v>32</v>
      </c>
      <c r="G574" s="15">
        <v>3700</v>
      </c>
      <c r="H574" s="15">
        <v>2800</v>
      </c>
      <c r="I574" s="15">
        <v>4500</v>
      </c>
    </row>
    <row r="575" spans="1:9" x14ac:dyDescent="0.2">
      <c r="A575" s="14">
        <v>1998</v>
      </c>
      <c r="B575" s="14" t="s">
        <v>173</v>
      </c>
      <c r="C575" s="14" t="s">
        <v>174</v>
      </c>
      <c r="D575" s="15" t="s">
        <v>32</v>
      </c>
      <c r="E575" s="15" t="s">
        <v>32</v>
      </c>
      <c r="F575" s="15">
        <v>580</v>
      </c>
      <c r="G575" s="15">
        <v>4400</v>
      </c>
      <c r="H575" s="15">
        <v>3600</v>
      </c>
      <c r="I575" s="15">
        <v>5400</v>
      </c>
    </row>
    <row r="576" spans="1:9" x14ac:dyDescent="0.2">
      <c r="A576" s="14">
        <v>1999</v>
      </c>
      <c r="B576" s="14" t="s">
        <v>173</v>
      </c>
      <c r="C576" s="14" t="s">
        <v>174</v>
      </c>
      <c r="D576" s="15">
        <v>570</v>
      </c>
      <c r="E576" s="15" t="s">
        <v>32</v>
      </c>
      <c r="F576" s="15">
        <v>760</v>
      </c>
      <c r="G576" s="15">
        <v>4700</v>
      </c>
      <c r="H576" s="15">
        <v>3900</v>
      </c>
      <c r="I576" s="15">
        <v>5600</v>
      </c>
    </row>
    <row r="577" spans="1:9" x14ac:dyDescent="0.2">
      <c r="A577" s="14">
        <v>2000</v>
      </c>
      <c r="B577" s="14" t="s">
        <v>173</v>
      </c>
      <c r="C577" s="14" t="s">
        <v>174</v>
      </c>
      <c r="D577" s="15">
        <v>750</v>
      </c>
      <c r="E577" s="15">
        <v>570</v>
      </c>
      <c r="F577" s="15">
        <v>980</v>
      </c>
      <c r="G577" s="15">
        <v>4700</v>
      </c>
      <c r="H577" s="15">
        <v>3900</v>
      </c>
      <c r="I577" s="15">
        <v>5800</v>
      </c>
    </row>
    <row r="578" spans="1:9" x14ac:dyDescent="0.2">
      <c r="A578" s="14">
        <v>2001</v>
      </c>
      <c r="B578" s="14" t="s">
        <v>173</v>
      </c>
      <c r="C578" s="14" t="s">
        <v>174</v>
      </c>
      <c r="D578" s="15">
        <v>950</v>
      </c>
      <c r="E578" s="15">
        <v>740</v>
      </c>
      <c r="F578" s="15">
        <v>1200</v>
      </c>
      <c r="G578" s="15">
        <v>4100</v>
      </c>
      <c r="H578" s="15">
        <v>3500</v>
      </c>
      <c r="I578" s="15">
        <v>5200</v>
      </c>
    </row>
    <row r="579" spans="1:9" x14ac:dyDescent="0.2">
      <c r="A579" s="14">
        <v>2002</v>
      </c>
      <c r="B579" s="14" t="s">
        <v>173</v>
      </c>
      <c r="C579" s="14" t="s">
        <v>174</v>
      </c>
      <c r="D579" s="15">
        <v>1200</v>
      </c>
      <c r="E579" s="15">
        <v>920</v>
      </c>
      <c r="F579" s="15">
        <v>1500</v>
      </c>
      <c r="G579" s="15">
        <v>3700</v>
      </c>
      <c r="H579" s="15">
        <v>3000</v>
      </c>
      <c r="I579" s="15">
        <v>4500</v>
      </c>
    </row>
    <row r="580" spans="1:9" x14ac:dyDescent="0.2">
      <c r="A580" s="14">
        <v>2003</v>
      </c>
      <c r="B580" s="14" t="s">
        <v>173</v>
      </c>
      <c r="C580" s="14" t="s">
        <v>174</v>
      </c>
      <c r="D580" s="15">
        <v>1400</v>
      </c>
      <c r="E580" s="15">
        <v>1100</v>
      </c>
      <c r="F580" s="15">
        <v>1700</v>
      </c>
      <c r="G580" s="15">
        <v>3200</v>
      </c>
      <c r="H580" s="15">
        <v>2500</v>
      </c>
      <c r="I580" s="15">
        <v>4000</v>
      </c>
    </row>
    <row r="581" spans="1:9" x14ac:dyDescent="0.2">
      <c r="A581" s="14">
        <v>2004</v>
      </c>
      <c r="B581" s="14" t="s">
        <v>173</v>
      </c>
      <c r="C581" s="14" t="s">
        <v>174</v>
      </c>
      <c r="D581" s="15">
        <v>1600</v>
      </c>
      <c r="E581" s="15">
        <v>1300</v>
      </c>
      <c r="F581" s="15">
        <v>2000</v>
      </c>
      <c r="G581" s="15">
        <v>2800</v>
      </c>
      <c r="H581" s="15">
        <v>2300</v>
      </c>
      <c r="I581" s="15">
        <v>3500</v>
      </c>
    </row>
    <row r="582" spans="1:9" x14ac:dyDescent="0.2">
      <c r="A582" s="14">
        <v>2005</v>
      </c>
      <c r="B582" s="14" t="s">
        <v>173</v>
      </c>
      <c r="C582" s="14" t="s">
        <v>174</v>
      </c>
      <c r="D582" s="15">
        <v>1800</v>
      </c>
      <c r="E582" s="15">
        <v>1500</v>
      </c>
      <c r="F582" s="15">
        <v>2200</v>
      </c>
      <c r="G582" s="15">
        <v>2600</v>
      </c>
      <c r="H582" s="15">
        <v>2100</v>
      </c>
      <c r="I582" s="15">
        <v>3200</v>
      </c>
    </row>
    <row r="583" spans="1:9" x14ac:dyDescent="0.2">
      <c r="A583" s="14">
        <v>2006</v>
      </c>
      <c r="B583" s="14" t="s">
        <v>173</v>
      </c>
      <c r="C583" s="14" t="s">
        <v>174</v>
      </c>
      <c r="D583" s="15">
        <v>1900</v>
      </c>
      <c r="E583" s="15">
        <v>1600</v>
      </c>
      <c r="F583" s="15">
        <v>2400</v>
      </c>
      <c r="G583" s="15">
        <v>2500</v>
      </c>
      <c r="H583" s="15">
        <v>2000</v>
      </c>
      <c r="I583" s="15">
        <v>3100</v>
      </c>
    </row>
    <row r="584" spans="1:9" x14ac:dyDescent="0.2">
      <c r="A584" s="14">
        <v>2007</v>
      </c>
      <c r="B584" s="14" t="s">
        <v>173</v>
      </c>
      <c r="C584" s="14" t="s">
        <v>174</v>
      </c>
      <c r="D584" s="15">
        <v>2000</v>
      </c>
      <c r="E584" s="15">
        <v>1700</v>
      </c>
      <c r="F584" s="15">
        <v>2400</v>
      </c>
      <c r="G584" s="15">
        <v>2500</v>
      </c>
      <c r="H584" s="15">
        <v>2000</v>
      </c>
      <c r="I584" s="15">
        <v>3200</v>
      </c>
    </row>
    <row r="585" spans="1:9" x14ac:dyDescent="0.2">
      <c r="A585" s="14">
        <v>2008</v>
      </c>
      <c r="B585" s="14" t="s">
        <v>173</v>
      </c>
      <c r="C585" s="14" t="s">
        <v>174</v>
      </c>
      <c r="D585" s="15">
        <v>1900</v>
      </c>
      <c r="E585" s="15">
        <v>1600</v>
      </c>
      <c r="F585" s="15">
        <v>2300</v>
      </c>
      <c r="G585" s="15">
        <v>2300</v>
      </c>
      <c r="H585" s="15">
        <v>1800</v>
      </c>
      <c r="I585" s="15">
        <v>3000</v>
      </c>
    </row>
    <row r="586" spans="1:9" x14ac:dyDescent="0.2">
      <c r="A586" s="14">
        <v>2009</v>
      </c>
      <c r="B586" s="14" t="s">
        <v>173</v>
      </c>
      <c r="C586" s="14" t="s">
        <v>174</v>
      </c>
      <c r="D586" s="15">
        <v>1800</v>
      </c>
      <c r="E586" s="15">
        <v>1500</v>
      </c>
      <c r="F586" s="15">
        <v>2200</v>
      </c>
      <c r="G586" s="15">
        <v>2200</v>
      </c>
      <c r="H586" s="15">
        <v>1700</v>
      </c>
      <c r="I586" s="15">
        <v>2800</v>
      </c>
    </row>
    <row r="587" spans="1:9" x14ac:dyDescent="0.2">
      <c r="A587" s="14">
        <v>2010</v>
      </c>
      <c r="B587" s="14" t="s">
        <v>173</v>
      </c>
      <c r="C587" s="14" t="s">
        <v>174</v>
      </c>
      <c r="D587" s="15">
        <v>1800</v>
      </c>
      <c r="E587" s="15">
        <v>1500</v>
      </c>
      <c r="F587" s="15">
        <v>2300</v>
      </c>
      <c r="G587" s="15">
        <v>2100</v>
      </c>
      <c r="H587" s="15">
        <v>1600</v>
      </c>
      <c r="I587" s="15">
        <v>2700</v>
      </c>
    </row>
    <row r="588" spans="1:9" x14ac:dyDescent="0.2">
      <c r="A588" s="14">
        <v>2011</v>
      </c>
      <c r="B588" s="14" t="s">
        <v>173</v>
      </c>
      <c r="C588" s="14" t="s">
        <v>174</v>
      </c>
      <c r="D588" s="15">
        <v>1800</v>
      </c>
      <c r="E588" s="15">
        <v>1500</v>
      </c>
      <c r="F588" s="15">
        <v>2200</v>
      </c>
      <c r="G588" s="15">
        <v>1900</v>
      </c>
      <c r="H588" s="15">
        <v>1500</v>
      </c>
      <c r="I588" s="15">
        <v>2500</v>
      </c>
    </row>
    <row r="589" spans="1:9" x14ac:dyDescent="0.2">
      <c r="A589" s="14">
        <v>2012</v>
      </c>
      <c r="B589" s="14" t="s">
        <v>173</v>
      </c>
      <c r="C589" s="14" t="s">
        <v>174</v>
      </c>
      <c r="D589" s="15">
        <v>1700</v>
      </c>
      <c r="E589" s="15">
        <v>1400</v>
      </c>
      <c r="F589" s="15">
        <v>2100</v>
      </c>
      <c r="G589" s="15">
        <v>1800</v>
      </c>
      <c r="H589" s="15">
        <v>1300</v>
      </c>
      <c r="I589" s="15">
        <v>2300</v>
      </c>
    </row>
    <row r="590" spans="1:9" x14ac:dyDescent="0.2">
      <c r="A590" s="14">
        <v>2013</v>
      </c>
      <c r="B590" s="14" t="s">
        <v>173</v>
      </c>
      <c r="C590" s="14" t="s">
        <v>174</v>
      </c>
      <c r="D590" s="15">
        <v>1700</v>
      </c>
      <c r="E590" s="15">
        <v>1400</v>
      </c>
      <c r="F590" s="15">
        <v>2100</v>
      </c>
      <c r="G590" s="15">
        <v>1700</v>
      </c>
      <c r="H590" s="15">
        <v>1200</v>
      </c>
      <c r="I590" s="15">
        <v>2200</v>
      </c>
    </row>
    <row r="591" spans="1:9" x14ac:dyDescent="0.2">
      <c r="A591" s="14">
        <v>2014</v>
      </c>
      <c r="B591" s="14" t="s">
        <v>173</v>
      </c>
      <c r="C591" s="14" t="s">
        <v>174</v>
      </c>
      <c r="D591" s="15">
        <v>1700</v>
      </c>
      <c r="E591" s="15">
        <v>1400</v>
      </c>
      <c r="F591" s="15">
        <v>2100</v>
      </c>
      <c r="G591" s="15">
        <v>1600</v>
      </c>
      <c r="H591" s="15">
        <v>1100</v>
      </c>
      <c r="I591" s="15">
        <v>2100</v>
      </c>
    </row>
    <row r="592" spans="1:9" x14ac:dyDescent="0.2">
      <c r="A592" s="14">
        <v>2015</v>
      </c>
      <c r="B592" s="14" t="s">
        <v>173</v>
      </c>
      <c r="C592" s="14" t="s">
        <v>174</v>
      </c>
      <c r="D592" s="15">
        <v>1700</v>
      </c>
      <c r="E592" s="15">
        <v>1400</v>
      </c>
      <c r="F592" s="15">
        <v>2100</v>
      </c>
      <c r="G592" s="15">
        <v>1500</v>
      </c>
      <c r="H592" s="15">
        <v>1000</v>
      </c>
      <c r="I592" s="15">
        <v>2000</v>
      </c>
    </row>
    <row r="593" spans="1:9" x14ac:dyDescent="0.2">
      <c r="A593" s="14">
        <v>2016</v>
      </c>
      <c r="B593" s="14" t="s">
        <v>173</v>
      </c>
      <c r="C593" s="14" t="s">
        <v>174</v>
      </c>
      <c r="D593" s="15">
        <v>1500</v>
      </c>
      <c r="E593" s="15">
        <v>1200</v>
      </c>
      <c r="F593" s="15">
        <v>1900</v>
      </c>
      <c r="G593" s="15">
        <v>1400</v>
      </c>
      <c r="H593" s="15">
        <v>930</v>
      </c>
      <c r="I593" s="15">
        <v>1900</v>
      </c>
    </row>
    <row r="594" spans="1:9" x14ac:dyDescent="0.2">
      <c r="A594" s="14">
        <v>2017</v>
      </c>
      <c r="B594" s="14" t="s">
        <v>173</v>
      </c>
      <c r="C594" s="14" t="s">
        <v>174</v>
      </c>
      <c r="D594" s="15">
        <v>1500</v>
      </c>
      <c r="E594" s="15">
        <v>1200</v>
      </c>
      <c r="F594" s="15">
        <v>1900</v>
      </c>
      <c r="G594" s="15">
        <v>1300</v>
      </c>
      <c r="H594" s="15">
        <v>860</v>
      </c>
      <c r="I594" s="15">
        <v>1800</v>
      </c>
    </row>
    <row r="595" spans="1:9" x14ac:dyDescent="0.2">
      <c r="A595" s="14">
        <v>2018</v>
      </c>
      <c r="B595" s="14" t="s">
        <v>173</v>
      </c>
      <c r="C595" s="14" t="s">
        <v>174</v>
      </c>
      <c r="D595" s="15">
        <v>1500</v>
      </c>
      <c r="E595" s="15">
        <v>1200</v>
      </c>
      <c r="F595" s="15">
        <v>1900</v>
      </c>
      <c r="G595" s="15">
        <v>1200</v>
      </c>
      <c r="H595" s="15">
        <v>790</v>
      </c>
      <c r="I595" s="15">
        <v>1700</v>
      </c>
    </row>
    <row r="596" spans="1:9" x14ac:dyDescent="0.2">
      <c r="A596" s="14">
        <v>2019</v>
      </c>
      <c r="B596" s="14" t="s">
        <v>173</v>
      </c>
      <c r="C596" s="14" t="s">
        <v>174</v>
      </c>
      <c r="D596" s="15">
        <v>1300</v>
      </c>
      <c r="E596" s="15">
        <v>990</v>
      </c>
      <c r="F596" s="15">
        <v>1600</v>
      </c>
      <c r="G596" s="15">
        <v>1100</v>
      </c>
      <c r="H596" s="15">
        <v>690</v>
      </c>
      <c r="I596" s="15">
        <v>1600</v>
      </c>
    </row>
    <row r="597" spans="1:9" x14ac:dyDescent="0.2">
      <c r="A597" s="14">
        <v>2020</v>
      </c>
      <c r="B597" s="14" t="s">
        <v>173</v>
      </c>
      <c r="C597" s="14" t="s">
        <v>174</v>
      </c>
      <c r="D597" s="15">
        <v>1100</v>
      </c>
      <c r="E597" s="15">
        <v>850</v>
      </c>
      <c r="F597" s="15">
        <v>1500</v>
      </c>
      <c r="G597" s="15">
        <v>980</v>
      </c>
      <c r="H597" s="15">
        <v>620</v>
      </c>
      <c r="I597" s="15">
        <v>1500</v>
      </c>
    </row>
    <row r="598" spans="1:9" x14ac:dyDescent="0.2">
      <c r="A598" s="14">
        <v>2021</v>
      </c>
      <c r="B598" s="14" t="s">
        <v>173</v>
      </c>
      <c r="C598" s="14" t="s">
        <v>174</v>
      </c>
      <c r="D598" s="15">
        <v>1100</v>
      </c>
      <c r="E598" s="15">
        <v>780</v>
      </c>
      <c r="F598" s="15">
        <v>1400</v>
      </c>
      <c r="G598" s="15">
        <v>940</v>
      </c>
      <c r="H598" s="15">
        <v>570</v>
      </c>
      <c r="I598" s="15">
        <v>1500</v>
      </c>
    </row>
    <row r="599" spans="1:9" x14ac:dyDescent="0.2">
      <c r="A599" s="14">
        <v>2022</v>
      </c>
      <c r="B599" s="14" t="s">
        <v>173</v>
      </c>
      <c r="C599" s="14" t="s">
        <v>174</v>
      </c>
      <c r="D599" s="15">
        <v>910</v>
      </c>
      <c r="E599" s="15">
        <v>690</v>
      </c>
      <c r="F599" s="15">
        <v>1200</v>
      </c>
      <c r="G599" s="15">
        <v>810</v>
      </c>
      <c r="H599" s="15" t="s">
        <v>32</v>
      </c>
      <c r="I599" s="15">
        <v>1300</v>
      </c>
    </row>
    <row r="600" spans="1:9" x14ac:dyDescent="0.2">
      <c r="A600" s="14">
        <v>2023</v>
      </c>
      <c r="B600" s="14" t="s">
        <v>173</v>
      </c>
      <c r="C600" s="14" t="s">
        <v>174</v>
      </c>
      <c r="D600" s="15">
        <v>830</v>
      </c>
      <c r="E600" s="15">
        <v>620</v>
      </c>
      <c r="F600" s="15">
        <v>1100</v>
      </c>
      <c r="G600" s="15">
        <v>760</v>
      </c>
      <c r="H600" s="15" t="s">
        <v>32</v>
      </c>
      <c r="I600" s="15">
        <v>1300</v>
      </c>
    </row>
    <row r="601" spans="1:9" x14ac:dyDescent="0.2">
      <c r="A601" s="14">
        <v>2024</v>
      </c>
      <c r="B601" s="14" t="s">
        <v>173</v>
      </c>
      <c r="C601" s="14" t="s">
        <v>174</v>
      </c>
      <c r="D601" s="15">
        <v>790</v>
      </c>
      <c r="E601" s="15">
        <v>600</v>
      </c>
      <c r="F601" s="15">
        <v>1000</v>
      </c>
      <c r="G601" s="15">
        <v>670</v>
      </c>
      <c r="H601" s="15" t="s">
        <v>32</v>
      </c>
      <c r="I601" s="15">
        <v>1200</v>
      </c>
    </row>
    <row r="602" spans="1:9" x14ac:dyDescent="0.2">
      <c r="A602" s="14">
        <v>1990</v>
      </c>
      <c r="B602" s="14" t="s">
        <v>175</v>
      </c>
      <c r="C602" s="14" t="s">
        <v>176</v>
      </c>
      <c r="D602" s="15">
        <v>530</v>
      </c>
      <c r="E602" s="15" t="s">
        <v>31</v>
      </c>
      <c r="F602" s="15">
        <v>1200</v>
      </c>
      <c r="G602" s="15" t="s">
        <v>33</v>
      </c>
      <c r="H602" s="15" t="s">
        <v>33</v>
      </c>
      <c r="I602" s="15" t="s">
        <v>33</v>
      </c>
    </row>
    <row r="603" spans="1:9" x14ac:dyDescent="0.2">
      <c r="A603" s="14">
        <v>1991</v>
      </c>
      <c r="B603" s="14" t="s">
        <v>175</v>
      </c>
      <c r="C603" s="14" t="s">
        <v>176</v>
      </c>
      <c r="D603" s="15">
        <v>540</v>
      </c>
      <c r="E603" s="15" t="s">
        <v>32</v>
      </c>
      <c r="F603" s="15">
        <v>1100</v>
      </c>
      <c r="G603" s="15" t="s">
        <v>33</v>
      </c>
      <c r="H603" s="15" t="s">
        <v>33</v>
      </c>
      <c r="I603" s="15" t="s">
        <v>33</v>
      </c>
    </row>
    <row r="604" spans="1:9" x14ac:dyDescent="0.2">
      <c r="A604" s="14">
        <v>1992</v>
      </c>
      <c r="B604" s="14" t="s">
        <v>175</v>
      </c>
      <c r="C604" s="14" t="s">
        <v>176</v>
      </c>
      <c r="D604" s="15">
        <v>740</v>
      </c>
      <c r="E604" s="15" t="s">
        <v>32</v>
      </c>
      <c r="F604" s="15">
        <v>1400</v>
      </c>
      <c r="G604" s="15" t="s">
        <v>33</v>
      </c>
      <c r="H604" s="15" t="s">
        <v>33</v>
      </c>
      <c r="I604" s="15" t="s">
        <v>33</v>
      </c>
    </row>
    <row r="605" spans="1:9" x14ac:dyDescent="0.2">
      <c r="A605" s="14">
        <v>1993</v>
      </c>
      <c r="B605" s="14" t="s">
        <v>175</v>
      </c>
      <c r="C605" s="14" t="s">
        <v>176</v>
      </c>
      <c r="D605" s="15">
        <v>980</v>
      </c>
      <c r="E605" s="15" t="s">
        <v>32</v>
      </c>
      <c r="F605" s="15">
        <v>1800</v>
      </c>
      <c r="G605" s="15" t="s">
        <v>33</v>
      </c>
      <c r="H605" s="15" t="s">
        <v>33</v>
      </c>
      <c r="I605" s="15" t="s">
        <v>33</v>
      </c>
    </row>
    <row r="606" spans="1:9" x14ac:dyDescent="0.2">
      <c r="A606" s="14">
        <v>1994</v>
      </c>
      <c r="B606" s="14" t="s">
        <v>175</v>
      </c>
      <c r="C606" s="14" t="s">
        <v>176</v>
      </c>
      <c r="D606" s="15">
        <v>1200</v>
      </c>
      <c r="E606" s="15">
        <v>610</v>
      </c>
      <c r="F606" s="15">
        <v>2200</v>
      </c>
      <c r="G606" s="15" t="s">
        <v>33</v>
      </c>
      <c r="H606" s="15" t="s">
        <v>33</v>
      </c>
      <c r="I606" s="15" t="s">
        <v>33</v>
      </c>
    </row>
    <row r="607" spans="1:9" x14ac:dyDescent="0.2">
      <c r="A607" s="14">
        <v>1995</v>
      </c>
      <c r="B607" s="14" t="s">
        <v>175</v>
      </c>
      <c r="C607" s="14" t="s">
        <v>176</v>
      </c>
      <c r="D607" s="15">
        <v>1400</v>
      </c>
      <c r="E607" s="15">
        <v>750</v>
      </c>
      <c r="F607" s="15">
        <v>2400</v>
      </c>
      <c r="G607" s="15" t="s">
        <v>33</v>
      </c>
      <c r="H607" s="15" t="s">
        <v>33</v>
      </c>
      <c r="I607" s="15" t="s">
        <v>33</v>
      </c>
    </row>
    <row r="608" spans="1:9" x14ac:dyDescent="0.2">
      <c r="A608" s="14">
        <v>1996</v>
      </c>
      <c r="B608" s="14" t="s">
        <v>175</v>
      </c>
      <c r="C608" s="14" t="s">
        <v>176</v>
      </c>
      <c r="D608" s="15">
        <v>1600</v>
      </c>
      <c r="E608" s="15">
        <v>960</v>
      </c>
      <c r="F608" s="15">
        <v>2700</v>
      </c>
      <c r="G608" s="15" t="s">
        <v>33</v>
      </c>
      <c r="H608" s="15" t="s">
        <v>33</v>
      </c>
      <c r="I608" s="15" t="s">
        <v>33</v>
      </c>
    </row>
    <row r="609" spans="1:9" x14ac:dyDescent="0.2">
      <c r="A609" s="14">
        <v>1997</v>
      </c>
      <c r="B609" s="14" t="s">
        <v>175</v>
      </c>
      <c r="C609" s="14" t="s">
        <v>176</v>
      </c>
      <c r="D609" s="15">
        <v>1800</v>
      </c>
      <c r="E609" s="15">
        <v>1100</v>
      </c>
      <c r="F609" s="15">
        <v>2900</v>
      </c>
      <c r="G609" s="15" t="s">
        <v>33</v>
      </c>
      <c r="H609" s="15" t="s">
        <v>33</v>
      </c>
      <c r="I609" s="15" t="s">
        <v>33</v>
      </c>
    </row>
    <row r="610" spans="1:9" x14ac:dyDescent="0.2">
      <c r="A610" s="14">
        <v>1998</v>
      </c>
      <c r="B610" s="14" t="s">
        <v>175</v>
      </c>
      <c r="C610" s="14" t="s">
        <v>176</v>
      </c>
      <c r="D610" s="15">
        <v>2200</v>
      </c>
      <c r="E610" s="15">
        <v>1500</v>
      </c>
      <c r="F610" s="15">
        <v>3400</v>
      </c>
      <c r="G610" s="15" t="s">
        <v>33</v>
      </c>
      <c r="H610" s="15" t="s">
        <v>33</v>
      </c>
      <c r="I610" s="15" t="s">
        <v>33</v>
      </c>
    </row>
    <row r="611" spans="1:9" x14ac:dyDescent="0.2">
      <c r="A611" s="14">
        <v>1999</v>
      </c>
      <c r="B611" s="14" t="s">
        <v>175</v>
      </c>
      <c r="C611" s="14" t="s">
        <v>176</v>
      </c>
      <c r="D611" s="15">
        <v>2500</v>
      </c>
      <c r="E611" s="15">
        <v>1800</v>
      </c>
      <c r="F611" s="15">
        <v>3700</v>
      </c>
      <c r="G611" s="15" t="s">
        <v>33</v>
      </c>
      <c r="H611" s="15" t="s">
        <v>33</v>
      </c>
      <c r="I611" s="15" t="s">
        <v>33</v>
      </c>
    </row>
    <row r="612" spans="1:9" x14ac:dyDescent="0.2">
      <c r="A612" s="14">
        <v>2000</v>
      </c>
      <c r="B612" s="14" t="s">
        <v>175</v>
      </c>
      <c r="C612" s="14" t="s">
        <v>176</v>
      </c>
      <c r="D612" s="15">
        <v>2800</v>
      </c>
      <c r="E612" s="15">
        <v>2000</v>
      </c>
      <c r="F612" s="15">
        <v>3900</v>
      </c>
      <c r="G612" s="15" t="s">
        <v>33</v>
      </c>
      <c r="H612" s="15" t="s">
        <v>33</v>
      </c>
      <c r="I612" s="15" t="s">
        <v>33</v>
      </c>
    </row>
    <row r="613" spans="1:9" x14ac:dyDescent="0.2">
      <c r="A613" s="14">
        <v>2001</v>
      </c>
      <c r="B613" s="14" t="s">
        <v>175</v>
      </c>
      <c r="C613" s="14" t="s">
        <v>176</v>
      </c>
      <c r="D613" s="15">
        <v>2900</v>
      </c>
      <c r="E613" s="15">
        <v>2200</v>
      </c>
      <c r="F613" s="15">
        <v>4000</v>
      </c>
      <c r="G613" s="15" t="s">
        <v>33</v>
      </c>
      <c r="H613" s="15" t="s">
        <v>33</v>
      </c>
      <c r="I613" s="15" t="s">
        <v>33</v>
      </c>
    </row>
    <row r="614" spans="1:9" x14ac:dyDescent="0.2">
      <c r="A614" s="14">
        <v>2002</v>
      </c>
      <c r="B614" s="14" t="s">
        <v>175</v>
      </c>
      <c r="C614" s="14" t="s">
        <v>176</v>
      </c>
      <c r="D614" s="15">
        <v>3000</v>
      </c>
      <c r="E614" s="15">
        <v>2400</v>
      </c>
      <c r="F614" s="15">
        <v>4100</v>
      </c>
      <c r="G614" s="15" t="s">
        <v>33</v>
      </c>
      <c r="H614" s="15" t="s">
        <v>33</v>
      </c>
      <c r="I614" s="15" t="s">
        <v>33</v>
      </c>
    </row>
    <row r="615" spans="1:9" x14ac:dyDescent="0.2">
      <c r="A615" s="14">
        <v>2003</v>
      </c>
      <c r="B615" s="14" t="s">
        <v>175</v>
      </c>
      <c r="C615" s="14" t="s">
        <v>176</v>
      </c>
      <c r="D615" s="15">
        <v>3100</v>
      </c>
      <c r="E615" s="15">
        <v>2500</v>
      </c>
      <c r="F615" s="15">
        <v>4100</v>
      </c>
      <c r="G615" s="15" t="s">
        <v>33</v>
      </c>
      <c r="H615" s="15" t="s">
        <v>33</v>
      </c>
      <c r="I615" s="15" t="s">
        <v>33</v>
      </c>
    </row>
    <row r="616" spans="1:9" x14ac:dyDescent="0.2">
      <c r="A616" s="14">
        <v>2004</v>
      </c>
      <c r="B616" s="14" t="s">
        <v>175</v>
      </c>
      <c r="C616" s="14" t="s">
        <v>176</v>
      </c>
      <c r="D616" s="15">
        <v>3100</v>
      </c>
      <c r="E616" s="15">
        <v>2500</v>
      </c>
      <c r="F616" s="15">
        <v>3900</v>
      </c>
      <c r="G616" s="15" t="s">
        <v>33</v>
      </c>
      <c r="H616" s="15" t="s">
        <v>33</v>
      </c>
      <c r="I616" s="15" t="s">
        <v>33</v>
      </c>
    </row>
    <row r="617" spans="1:9" x14ac:dyDescent="0.2">
      <c r="A617" s="14">
        <v>2005</v>
      </c>
      <c r="B617" s="14" t="s">
        <v>175</v>
      </c>
      <c r="C617" s="14" t="s">
        <v>176</v>
      </c>
      <c r="D617" s="15">
        <v>3100</v>
      </c>
      <c r="E617" s="15">
        <v>2600</v>
      </c>
      <c r="F617" s="15">
        <v>3900</v>
      </c>
      <c r="G617" s="15" t="s">
        <v>33</v>
      </c>
      <c r="H617" s="15" t="s">
        <v>33</v>
      </c>
      <c r="I617" s="15" t="s">
        <v>33</v>
      </c>
    </row>
    <row r="618" spans="1:9" x14ac:dyDescent="0.2">
      <c r="A618" s="14">
        <v>2006</v>
      </c>
      <c r="B618" s="14" t="s">
        <v>175</v>
      </c>
      <c r="C618" s="14" t="s">
        <v>176</v>
      </c>
      <c r="D618" s="15">
        <v>3000</v>
      </c>
      <c r="E618" s="15">
        <v>2500</v>
      </c>
      <c r="F618" s="15">
        <v>3800</v>
      </c>
      <c r="G618" s="15" t="s">
        <v>33</v>
      </c>
      <c r="H618" s="15" t="s">
        <v>33</v>
      </c>
      <c r="I618" s="15" t="s">
        <v>33</v>
      </c>
    </row>
    <row r="619" spans="1:9" x14ac:dyDescent="0.2">
      <c r="A619" s="14">
        <v>2007</v>
      </c>
      <c r="B619" s="14" t="s">
        <v>175</v>
      </c>
      <c r="C619" s="14" t="s">
        <v>176</v>
      </c>
      <c r="D619" s="15">
        <v>2900</v>
      </c>
      <c r="E619" s="15">
        <v>2400</v>
      </c>
      <c r="F619" s="15">
        <v>3600</v>
      </c>
      <c r="G619" s="15" t="s">
        <v>33</v>
      </c>
      <c r="H619" s="15" t="s">
        <v>33</v>
      </c>
      <c r="I619" s="15" t="s">
        <v>33</v>
      </c>
    </row>
    <row r="620" spans="1:9" x14ac:dyDescent="0.2">
      <c r="A620" s="14">
        <v>2008</v>
      </c>
      <c r="B620" s="14" t="s">
        <v>175</v>
      </c>
      <c r="C620" s="14" t="s">
        <v>176</v>
      </c>
      <c r="D620" s="15">
        <v>2900</v>
      </c>
      <c r="E620" s="15">
        <v>2400</v>
      </c>
      <c r="F620" s="15">
        <v>3500</v>
      </c>
      <c r="G620" s="15" t="s">
        <v>33</v>
      </c>
      <c r="H620" s="15" t="s">
        <v>33</v>
      </c>
      <c r="I620" s="15" t="s">
        <v>33</v>
      </c>
    </row>
    <row r="621" spans="1:9" x14ac:dyDescent="0.2">
      <c r="A621" s="14">
        <v>2009</v>
      </c>
      <c r="B621" s="14" t="s">
        <v>175</v>
      </c>
      <c r="C621" s="14" t="s">
        <v>176</v>
      </c>
      <c r="D621" s="15">
        <v>2700</v>
      </c>
      <c r="E621" s="15">
        <v>2300</v>
      </c>
      <c r="F621" s="15">
        <v>3300</v>
      </c>
      <c r="G621" s="15" t="s">
        <v>33</v>
      </c>
      <c r="H621" s="15" t="s">
        <v>33</v>
      </c>
      <c r="I621" s="15" t="s">
        <v>33</v>
      </c>
    </row>
    <row r="622" spans="1:9" x14ac:dyDescent="0.2">
      <c r="A622" s="14">
        <v>2010</v>
      </c>
      <c r="B622" s="14" t="s">
        <v>175</v>
      </c>
      <c r="C622" s="14" t="s">
        <v>176</v>
      </c>
      <c r="D622" s="15">
        <v>2500</v>
      </c>
      <c r="E622" s="15">
        <v>2100</v>
      </c>
      <c r="F622" s="15">
        <v>3100</v>
      </c>
      <c r="G622" s="15" t="s">
        <v>33</v>
      </c>
      <c r="H622" s="15" t="s">
        <v>33</v>
      </c>
      <c r="I622" s="15" t="s">
        <v>33</v>
      </c>
    </row>
    <row r="623" spans="1:9" x14ac:dyDescent="0.2">
      <c r="A623" s="14">
        <v>2011</v>
      </c>
      <c r="B623" s="14" t="s">
        <v>175</v>
      </c>
      <c r="C623" s="14" t="s">
        <v>176</v>
      </c>
      <c r="D623" s="15">
        <v>2300</v>
      </c>
      <c r="E623" s="15">
        <v>1900</v>
      </c>
      <c r="F623" s="15">
        <v>2800</v>
      </c>
      <c r="G623" s="15" t="s">
        <v>33</v>
      </c>
      <c r="H623" s="15" t="s">
        <v>33</v>
      </c>
      <c r="I623" s="15" t="s">
        <v>33</v>
      </c>
    </row>
    <row r="624" spans="1:9" x14ac:dyDescent="0.2">
      <c r="A624" s="14">
        <v>2012</v>
      </c>
      <c r="B624" s="14" t="s">
        <v>175</v>
      </c>
      <c r="C624" s="14" t="s">
        <v>176</v>
      </c>
      <c r="D624" s="15">
        <v>2400</v>
      </c>
      <c r="E624" s="15">
        <v>2000</v>
      </c>
      <c r="F624" s="15">
        <v>2900</v>
      </c>
      <c r="G624" s="15" t="s">
        <v>33</v>
      </c>
      <c r="H624" s="15" t="s">
        <v>33</v>
      </c>
      <c r="I624" s="15" t="s">
        <v>33</v>
      </c>
    </row>
    <row r="625" spans="1:9" x14ac:dyDescent="0.2">
      <c r="A625" s="14">
        <v>2013</v>
      </c>
      <c r="B625" s="14" t="s">
        <v>175</v>
      </c>
      <c r="C625" s="14" t="s">
        <v>176</v>
      </c>
      <c r="D625" s="15">
        <v>2400</v>
      </c>
      <c r="E625" s="15">
        <v>2000</v>
      </c>
      <c r="F625" s="15">
        <v>2800</v>
      </c>
      <c r="G625" s="15" t="s">
        <v>33</v>
      </c>
      <c r="H625" s="15" t="s">
        <v>33</v>
      </c>
      <c r="I625" s="15" t="s">
        <v>33</v>
      </c>
    </row>
    <row r="626" spans="1:9" x14ac:dyDescent="0.2">
      <c r="A626" s="14">
        <v>2014</v>
      </c>
      <c r="B626" s="14" t="s">
        <v>175</v>
      </c>
      <c r="C626" s="14" t="s">
        <v>176</v>
      </c>
      <c r="D626" s="15">
        <v>2300</v>
      </c>
      <c r="E626" s="15">
        <v>1900</v>
      </c>
      <c r="F626" s="15">
        <v>2800</v>
      </c>
      <c r="G626" s="15" t="s">
        <v>33</v>
      </c>
      <c r="H626" s="15" t="s">
        <v>33</v>
      </c>
      <c r="I626" s="15" t="s">
        <v>33</v>
      </c>
    </row>
    <row r="627" spans="1:9" x14ac:dyDescent="0.2">
      <c r="A627" s="14">
        <v>2015</v>
      </c>
      <c r="B627" s="14" t="s">
        <v>175</v>
      </c>
      <c r="C627" s="14" t="s">
        <v>176</v>
      </c>
      <c r="D627" s="15">
        <v>2300</v>
      </c>
      <c r="E627" s="15">
        <v>1900</v>
      </c>
      <c r="F627" s="15">
        <v>2700</v>
      </c>
      <c r="G627" s="15" t="s">
        <v>33</v>
      </c>
      <c r="H627" s="15" t="s">
        <v>33</v>
      </c>
      <c r="I627" s="15" t="s">
        <v>33</v>
      </c>
    </row>
    <row r="628" spans="1:9" x14ac:dyDescent="0.2">
      <c r="A628" s="14">
        <v>2016</v>
      </c>
      <c r="B628" s="14" t="s">
        <v>175</v>
      </c>
      <c r="C628" s="14" t="s">
        <v>176</v>
      </c>
      <c r="D628" s="15">
        <v>2200</v>
      </c>
      <c r="E628" s="15">
        <v>1800</v>
      </c>
      <c r="F628" s="15">
        <v>2600</v>
      </c>
      <c r="G628" s="15" t="s">
        <v>33</v>
      </c>
      <c r="H628" s="15" t="s">
        <v>33</v>
      </c>
      <c r="I628" s="15" t="s">
        <v>33</v>
      </c>
    </row>
    <row r="629" spans="1:9" x14ac:dyDescent="0.2">
      <c r="A629" s="14">
        <v>2017</v>
      </c>
      <c r="B629" s="14" t="s">
        <v>175</v>
      </c>
      <c r="C629" s="14" t="s">
        <v>176</v>
      </c>
      <c r="D629" s="15">
        <v>1900</v>
      </c>
      <c r="E629" s="15">
        <v>1500</v>
      </c>
      <c r="F629" s="15">
        <v>2300</v>
      </c>
      <c r="G629" s="15" t="s">
        <v>33</v>
      </c>
      <c r="H629" s="15" t="s">
        <v>33</v>
      </c>
      <c r="I629" s="15" t="s">
        <v>33</v>
      </c>
    </row>
    <row r="630" spans="1:9" x14ac:dyDescent="0.2">
      <c r="A630" s="14">
        <v>2018</v>
      </c>
      <c r="B630" s="14" t="s">
        <v>175</v>
      </c>
      <c r="C630" s="14" t="s">
        <v>176</v>
      </c>
      <c r="D630" s="15">
        <v>1500</v>
      </c>
      <c r="E630" s="15">
        <v>1200</v>
      </c>
      <c r="F630" s="15">
        <v>1900</v>
      </c>
      <c r="G630" s="15" t="s">
        <v>33</v>
      </c>
      <c r="H630" s="15" t="s">
        <v>33</v>
      </c>
      <c r="I630" s="15" t="s">
        <v>33</v>
      </c>
    </row>
    <row r="631" spans="1:9" x14ac:dyDescent="0.2">
      <c r="A631" s="14">
        <v>2019</v>
      </c>
      <c r="B631" s="14" t="s">
        <v>175</v>
      </c>
      <c r="C631" s="14" t="s">
        <v>176</v>
      </c>
      <c r="D631" s="15">
        <v>1300</v>
      </c>
      <c r="E631" s="15">
        <v>980</v>
      </c>
      <c r="F631" s="15">
        <v>1800</v>
      </c>
      <c r="G631" s="15" t="s">
        <v>33</v>
      </c>
      <c r="H631" s="15" t="s">
        <v>33</v>
      </c>
      <c r="I631" s="15" t="s">
        <v>33</v>
      </c>
    </row>
    <row r="632" spans="1:9" x14ac:dyDescent="0.2">
      <c r="A632" s="14">
        <v>2020</v>
      </c>
      <c r="B632" s="14" t="s">
        <v>175</v>
      </c>
      <c r="C632" s="14" t="s">
        <v>176</v>
      </c>
      <c r="D632" s="15">
        <v>1200</v>
      </c>
      <c r="E632" s="15">
        <v>880</v>
      </c>
      <c r="F632" s="15">
        <v>1600</v>
      </c>
      <c r="G632" s="15" t="s">
        <v>33</v>
      </c>
      <c r="H632" s="15" t="s">
        <v>33</v>
      </c>
      <c r="I632" s="15" t="s">
        <v>33</v>
      </c>
    </row>
    <row r="633" spans="1:9" x14ac:dyDescent="0.2">
      <c r="A633" s="14">
        <v>2021</v>
      </c>
      <c r="B633" s="14" t="s">
        <v>175</v>
      </c>
      <c r="C633" s="14" t="s">
        <v>176</v>
      </c>
      <c r="D633" s="15">
        <v>960</v>
      </c>
      <c r="E633" s="15">
        <v>710</v>
      </c>
      <c r="F633" s="15">
        <v>1400</v>
      </c>
      <c r="G633" s="15" t="s">
        <v>33</v>
      </c>
      <c r="H633" s="15" t="s">
        <v>33</v>
      </c>
      <c r="I633" s="15" t="s">
        <v>33</v>
      </c>
    </row>
    <row r="634" spans="1:9" x14ac:dyDescent="0.2">
      <c r="A634" s="14">
        <v>2022</v>
      </c>
      <c r="B634" s="14" t="s">
        <v>175</v>
      </c>
      <c r="C634" s="14" t="s">
        <v>176</v>
      </c>
      <c r="D634" s="15">
        <v>800</v>
      </c>
      <c r="E634" s="15">
        <v>590</v>
      </c>
      <c r="F634" s="15">
        <v>1100</v>
      </c>
      <c r="G634" s="15" t="s">
        <v>33</v>
      </c>
      <c r="H634" s="15" t="s">
        <v>33</v>
      </c>
      <c r="I634" s="15" t="s">
        <v>33</v>
      </c>
    </row>
    <row r="635" spans="1:9" x14ac:dyDescent="0.2">
      <c r="A635" s="14">
        <v>2023</v>
      </c>
      <c r="B635" s="14" t="s">
        <v>175</v>
      </c>
      <c r="C635" s="14" t="s">
        <v>176</v>
      </c>
      <c r="D635" s="15">
        <v>660</v>
      </c>
      <c r="E635" s="15" t="s">
        <v>32</v>
      </c>
      <c r="F635" s="15">
        <v>950</v>
      </c>
      <c r="G635" s="15" t="s">
        <v>33</v>
      </c>
      <c r="H635" s="15" t="s">
        <v>33</v>
      </c>
      <c r="I635" s="15" t="s">
        <v>33</v>
      </c>
    </row>
    <row r="636" spans="1:9" x14ac:dyDescent="0.2">
      <c r="A636" s="14">
        <v>2024</v>
      </c>
      <c r="B636" s="14" t="s">
        <v>175</v>
      </c>
      <c r="C636" s="14" t="s">
        <v>176</v>
      </c>
      <c r="D636" s="15">
        <v>610</v>
      </c>
      <c r="E636" s="15" t="s">
        <v>32</v>
      </c>
      <c r="F636" s="15">
        <v>890</v>
      </c>
      <c r="G636" s="15" t="s">
        <v>33</v>
      </c>
      <c r="H636" s="15" t="s">
        <v>33</v>
      </c>
      <c r="I636" s="15" t="s">
        <v>33</v>
      </c>
    </row>
    <row r="637" spans="1:9" x14ac:dyDescent="0.2">
      <c r="A637" s="14">
        <v>1990</v>
      </c>
      <c r="B637" s="14" t="s">
        <v>177</v>
      </c>
      <c r="C637" s="14" t="s">
        <v>178</v>
      </c>
      <c r="D637" s="15">
        <v>1300</v>
      </c>
      <c r="E637" s="15">
        <v>510</v>
      </c>
      <c r="F637" s="15">
        <v>2900</v>
      </c>
      <c r="G637" s="15" t="s">
        <v>24</v>
      </c>
      <c r="H637" s="15">
        <v>6400</v>
      </c>
      <c r="I637" s="15" t="s">
        <v>62</v>
      </c>
    </row>
    <row r="638" spans="1:9" x14ac:dyDescent="0.2">
      <c r="A638" s="14">
        <v>1991</v>
      </c>
      <c r="B638" s="14" t="s">
        <v>177</v>
      </c>
      <c r="C638" s="14" t="s">
        <v>178</v>
      </c>
      <c r="D638" s="15">
        <v>1600</v>
      </c>
      <c r="E638" s="15">
        <v>690</v>
      </c>
      <c r="F638" s="15">
        <v>3400</v>
      </c>
      <c r="G638" s="15" t="s">
        <v>15</v>
      </c>
      <c r="H638" s="15">
        <v>8200</v>
      </c>
      <c r="I638" s="15" t="s">
        <v>59</v>
      </c>
    </row>
    <row r="639" spans="1:9" x14ac:dyDescent="0.2">
      <c r="A639" s="14">
        <v>1992</v>
      </c>
      <c r="B639" s="14" t="s">
        <v>177</v>
      </c>
      <c r="C639" s="14" t="s">
        <v>178</v>
      </c>
      <c r="D639" s="15">
        <v>2100</v>
      </c>
      <c r="E639" s="15">
        <v>920</v>
      </c>
      <c r="F639" s="15">
        <v>4000</v>
      </c>
      <c r="G639" s="15" t="s">
        <v>15</v>
      </c>
      <c r="H639" s="15">
        <v>9200</v>
      </c>
      <c r="I639" s="15" t="s">
        <v>62</v>
      </c>
    </row>
    <row r="640" spans="1:9" x14ac:dyDescent="0.2">
      <c r="A640" s="14">
        <v>1993</v>
      </c>
      <c r="B640" s="14" t="s">
        <v>177</v>
      </c>
      <c r="C640" s="14" t="s">
        <v>178</v>
      </c>
      <c r="D640" s="15">
        <v>2500</v>
      </c>
      <c r="E640" s="15">
        <v>1200</v>
      </c>
      <c r="F640" s="15">
        <v>4700</v>
      </c>
      <c r="G640" s="15" t="s">
        <v>15</v>
      </c>
      <c r="H640" s="15">
        <v>9600</v>
      </c>
      <c r="I640" s="15" t="s">
        <v>62</v>
      </c>
    </row>
    <row r="641" spans="1:9" x14ac:dyDescent="0.2">
      <c r="A641" s="14">
        <v>1994</v>
      </c>
      <c r="B641" s="14" t="s">
        <v>177</v>
      </c>
      <c r="C641" s="14" t="s">
        <v>178</v>
      </c>
      <c r="D641" s="15">
        <v>3000</v>
      </c>
      <c r="E641" s="15">
        <v>1600</v>
      </c>
      <c r="F641" s="15">
        <v>5300</v>
      </c>
      <c r="G641" s="15" t="s">
        <v>15</v>
      </c>
      <c r="H641" s="15">
        <v>9500</v>
      </c>
      <c r="I641" s="15" t="s">
        <v>60</v>
      </c>
    </row>
    <row r="642" spans="1:9" x14ac:dyDescent="0.2">
      <c r="A642" s="14">
        <v>1995</v>
      </c>
      <c r="B642" s="14" t="s">
        <v>177</v>
      </c>
      <c r="C642" s="14" t="s">
        <v>178</v>
      </c>
      <c r="D642" s="15">
        <v>3500</v>
      </c>
      <c r="E642" s="15">
        <v>2000</v>
      </c>
      <c r="F642" s="15">
        <v>6000</v>
      </c>
      <c r="G642" s="15" t="s">
        <v>24</v>
      </c>
      <c r="H642" s="15">
        <v>9200</v>
      </c>
      <c r="I642" s="15" t="s">
        <v>17</v>
      </c>
    </row>
    <row r="643" spans="1:9" x14ac:dyDescent="0.2">
      <c r="A643" s="14">
        <v>1996</v>
      </c>
      <c r="B643" s="14" t="s">
        <v>177</v>
      </c>
      <c r="C643" s="14" t="s">
        <v>178</v>
      </c>
      <c r="D643" s="15">
        <v>4000</v>
      </c>
      <c r="E643" s="15">
        <v>2500</v>
      </c>
      <c r="F643" s="15">
        <v>6600</v>
      </c>
      <c r="G643" s="15" t="s">
        <v>22</v>
      </c>
      <c r="H643" s="15">
        <v>8400</v>
      </c>
      <c r="I643" s="15" t="s">
        <v>23</v>
      </c>
    </row>
    <row r="644" spans="1:9" x14ac:dyDescent="0.2">
      <c r="A644" s="14">
        <v>1997</v>
      </c>
      <c r="B644" s="14" t="s">
        <v>177</v>
      </c>
      <c r="C644" s="14" t="s">
        <v>178</v>
      </c>
      <c r="D644" s="15">
        <v>4500</v>
      </c>
      <c r="E644" s="15">
        <v>3000</v>
      </c>
      <c r="F644" s="15">
        <v>6900</v>
      </c>
      <c r="G644" s="15">
        <v>9500</v>
      </c>
      <c r="H644" s="15">
        <v>7800</v>
      </c>
      <c r="I644" s="15" t="s">
        <v>15</v>
      </c>
    </row>
    <row r="645" spans="1:9" x14ac:dyDescent="0.2">
      <c r="A645" s="14">
        <v>1998</v>
      </c>
      <c r="B645" s="14" t="s">
        <v>177</v>
      </c>
      <c r="C645" s="14" t="s">
        <v>178</v>
      </c>
      <c r="D645" s="15">
        <v>5000</v>
      </c>
      <c r="E645" s="15">
        <v>3400</v>
      </c>
      <c r="F645" s="15">
        <v>7200</v>
      </c>
      <c r="G645" s="15">
        <v>8800</v>
      </c>
      <c r="H645" s="15">
        <v>7300</v>
      </c>
      <c r="I645" s="15" t="s">
        <v>24</v>
      </c>
    </row>
    <row r="646" spans="1:9" x14ac:dyDescent="0.2">
      <c r="A646" s="14">
        <v>1999</v>
      </c>
      <c r="B646" s="14" t="s">
        <v>177</v>
      </c>
      <c r="C646" s="14" t="s">
        <v>178</v>
      </c>
      <c r="D646" s="15">
        <v>5500</v>
      </c>
      <c r="E646" s="15">
        <v>3900</v>
      </c>
      <c r="F646" s="15">
        <v>7600</v>
      </c>
      <c r="G646" s="15">
        <v>8500</v>
      </c>
      <c r="H646" s="15">
        <v>7100</v>
      </c>
      <c r="I646" s="15" t="s">
        <v>24</v>
      </c>
    </row>
    <row r="647" spans="1:9" x14ac:dyDescent="0.2">
      <c r="A647" s="14">
        <v>2000</v>
      </c>
      <c r="B647" s="14" t="s">
        <v>177</v>
      </c>
      <c r="C647" s="14" t="s">
        <v>178</v>
      </c>
      <c r="D647" s="15">
        <v>5900</v>
      </c>
      <c r="E647" s="15">
        <v>4400</v>
      </c>
      <c r="F647" s="15">
        <v>8000</v>
      </c>
      <c r="G647" s="15">
        <v>8100</v>
      </c>
      <c r="H647" s="15">
        <v>6800</v>
      </c>
      <c r="I647" s="15" t="s">
        <v>22</v>
      </c>
    </row>
    <row r="648" spans="1:9" x14ac:dyDescent="0.2">
      <c r="A648" s="14">
        <v>2001</v>
      </c>
      <c r="B648" s="14" t="s">
        <v>177</v>
      </c>
      <c r="C648" s="14" t="s">
        <v>178</v>
      </c>
      <c r="D648" s="15">
        <v>6200</v>
      </c>
      <c r="E648" s="15">
        <v>4800</v>
      </c>
      <c r="F648" s="15">
        <v>8300</v>
      </c>
      <c r="G648" s="15">
        <v>7600</v>
      </c>
      <c r="H648" s="15">
        <v>6400</v>
      </c>
      <c r="I648" s="15">
        <v>9500</v>
      </c>
    </row>
    <row r="649" spans="1:9" x14ac:dyDescent="0.2">
      <c r="A649" s="14">
        <v>2002</v>
      </c>
      <c r="B649" s="14" t="s">
        <v>177</v>
      </c>
      <c r="C649" s="14" t="s">
        <v>178</v>
      </c>
      <c r="D649" s="15">
        <v>6500</v>
      </c>
      <c r="E649" s="15">
        <v>5200</v>
      </c>
      <c r="F649" s="15">
        <v>8400</v>
      </c>
      <c r="G649" s="15">
        <v>7500</v>
      </c>
      <c r="H649" s="15">
        <v>6400</v>
      </c>
      <c r="I649" s="15">
        <v>9500</v>
      </c>
    </row>
    <row r="650" spans="1:9" x14ac:dyDescent="0.2">
      <c r="A650" s="14">
        <v>2003</v>
      </c>
      <c r="B650" s="14" t="s">
        <v>177</v>
      </c>
      <c r="C650" s="14" t="s">
        <v>178</v>
      </c>
      <c r="D650" s="15">
        <v>6600</v>
      </c>
      <c r="E650" s="15">
        <v>5300</v>
      </c>
      <c r="F650" s="15">
        <v>8200</v>
      </c>
      <c r="G650" s="15">
        <v>6900</v>
      </c>
      <c r="H650" s="15">
        <v>5800</v>
      </c>
      <c r="I650" s="15">
        <v>8800</v>
      </c>
    </row>
    <row r="651" spans="1:9" x14ac:dyDescent="0.2">
      <c r="A651" s="14">
        <v>2004</v>
      </c>
      <c r="B651" s="14" t="s">
        <v>177</v>
      </c>
      <c r="C651" s="14" t="s">
        <v>178</v>
      </c>
      <c r="D651" s="15">
        <v>6400</v>
      </c>
      <c r="E651" s="15">
        <v>5200</v>
      </c>
      <c r="F651" s="15">
        <v>8000</v>
      </c>
      <c r="G651" s="15">
        <v>6900</v>
      </c>
      <c r="H651" s="15">
        <v>5700</v>
      </c>
      <c r="I651" s="15">
        <v>8700</v>
      </c>
    </row>
    <row r="652" spans="1:9" x14ac:dyDescent="0.2">
      <c r="A652" s="14">
        <v>2005</v>
      </c>
      <c r="B652" s="14" t="s">
        <v>177</v>
      </c>
      <c r="C652" s="14" t="s">
        <v>178</v>
      </c>
      <c r="D652" s="15">
        <v>6400</v>
      </c>
      <c r="E652" s="15">
        <v>5200</v>
      </c>
      <c r="F652" s="15">
        <v>7900</v>
      </c>
      <c r="G652" s="15">
        <v>7200</v>
      </c>
      <c r="H652" s="15">
        <v>6000</v>
      </c>
      <c r="I652" s="15">
        <v>9400</v>
      </c>
    </row>
    <row r="653" spans="1:9" x14ac:dyDescent="0.2">
      <c r="A653" s="14">
        <v>2006</v>
      </c>
      <c r="B653" s="14" t="s">
        <v>177</v>
      </c>
      <c r="C653" s="14" t="s">
        <v>178</v>
      </c>
      <c r="D653" s="15">
        <v>6000</v>
      </c>
      <c r="E653" s="15">
        <v>4900</v>
      </c>
      <c r="F653" s="15">
        <v>7400</v>
      </c>
      <c r="G653" s="15">
        <v>7000</v>
      </c>
      <c r="H653" s="15">
        <v>5800</v>
      </c>
      <c r="I653" s="15">
        <v>9300</v>
      </c>
    </row>
    <row r="654" spans="1:9" x14ac:dyDescent="0.2">
      <c r="A654" s="14">
        <v>2007</v>
      </c>
      <c r="B654" s="14" t="s">
        <v>177</v>
      </c>
      <c r="C654" s="14" t="s">
        <v>178</v>
      </c>
      <c r="D654" s="15">
        <v>5000</v>
      </c>
      <c r="E654" s="15">
        <v>3900</v>
      </c>
      <c r="F654" s="15">
        <v>6300</v>
      </c>
      <c r="G654" s="15">
        <v>7000</v>
      </c>
      <c r="H654" s="15">
        <v>5800</v>
      </c>
      <c r="I654" s="15">
        <v>9100</v>
      </c>
    </row>
    <row r="655" spans="1:9" x14ac:dyDescent="0.2">
      <c r="A655" s="14">
        <v>2008</v>
      </c>
      <c r="B655" s="14" t="s">
        <v>177</v>
      </c>
      <c r="C655" s="14" t="s">
        <v>178</v>
      </c>
      <c r="D655" s="15">
        <v>4500</v>
      </c>
      <c r="E655" s="15">
        <v>3500</v>
      </c>
      <c r="F655" s="15">
        <v>5700</v>
      </c>
      <c r="G655" s="15">
        <v>6800</v>
      </c>
      <c r="H655" s="15">
        <v>5600</v>
      </c>
      <c r="I655" s="15">
        <v>8900</v>
      </c>
    </row>
    <row r="656" spans="1:9" x14ac:dyDescent="0.2">
      <c r="A656" s="14">
        <v>2009</v>
      </c>
      <c r="B656" s="14" t="s">
        <v>177</v>
      </c>
      <c r="C656" s="14" t="s">
        <v>178</v>
      </c>
      <c r="D656" s="15">
        <v>4300</v>
      </c>
      <c r="E656" s="15">
        <v>3400</v>
      </c>
      <c r="F656" s="15">
        <v>5500</v>
      </c>
      <c r="G656" s="15">
        <v>6500</v>
      </c>
      <c r="H656" s="15">
        <v>5300</v>
      </c>
      <c r="I656" s="15">
        <v>8700</v>
      </c>
    </row>
    <row r="657" spans="1:9" x14ac:dyDescent="0.2">
      <c r="A657" s="14">
        <v>2010</v>
      </c>
      <c r="B657" s="14" t="s">
        <v>177</v>
      </c>
      <c r="C657" s="14" t="s">
        <v>178</v>
      </c>
      <c r="D657" s="15">
        <v>4200</v>
      </c>
      <c r="E657" s="15">
        <v>3300</v>
      </c>
      <c r="F657" s="15">
        <v>5400</v>
      </c>
      <c r="G657" s="15">
        <v>6100</v>
      </c>
      <c r="H657" s="15">
        <v>4900</v>
      </c>
      <c r="I657" s="15">
        <v>8200</v>
      </c>
    </row>
    <row r="658" spans="1:9" x14ac:dyDescent="0.2">
      <c r="A658" s="14">
        <v>2011</v>
      </c>
      <c r="B658" s="14" t="s">
        <v>177</v>
      </c>
      <c r="C658" s="14" t="s">
        <v>178</v>
      </c>
      <c r="D658" s="15">
        <v>4000</v>
      </c>
      <c r="E658" s="15">
        <v>3100</v>
      </c>
      <c r="F658" s="15">
        <v>5200</v>
      </c>
      <c r="G658" s="15">
        <v>6000</v>
      </c>
      <c r="H658" s="15">
        <v>4800</v>
      </c>
      <c r="I658" s="15">
        <v>8100</v>
      </c>
    </row>
    <row r="659" spans="1:9" x14ac:dyDescent="0.2">
      <c r="A659" s="14">
        <v>2012</v>
      </c>
      <c r="B659" s="14" t="s">
        <v>177</v>
      </c>
      <c r="C659" s="14" t="s">
        <v>178</v>
      </c>
      <c r="D659" s="15">
        <v>4100</v>
      </c>
      <c r="E659" s="15">
        <v>3200</v>
      </c>
      <c r="F659" s="15">
        <v>5500</v>
      </c>
      <c r="G659" s="15">
        <v>5500</v>
      </c>
      <c r="H659" s="15">
        <v>4300</v>
      </c>
      <c r="I659" s="15">
        <v>7500</v>
      </c>
    </row>
    <row r="660" spans="1:9" x14ac:dyDescent="0.2">
      <c r="A660" s="14">
        <v>2013</v>
      </c>
      <c r="B660" s="14" t="s">
        <v>177</v>
      </c>
      <c r="C660" s="14" t="s">
        <v>178</v>
      </c>
      <c r="D660" s="15">
        <v>4500</v>
      </c>
      <c r="E660" s="15">
        <v>3600</v>
      </c>
      <c r="F660" s="15">
        <v>5900</v>
      </c>
      <c r="G660" s="15">
        <v>5800</v>
      </c>
      <c r="H660" s="15">
        <v>4600</v>
      </c>
      <c r="I660" s="15">
        <v>7800</v>
      </c>
    </row>
    <row r="661" spans="1:9" x14ac:dyDescent="0.2">
      <c r="A661" s="14">
        <v>2014</v>
      </c>
      <c r="B661" s="14" t="s">
        <v>177</v>
      </c>
      <c r="C661" s="14" t="s">
        <v>178</v>
      </c>
      <c r="D661" s="15">
        <v>4700</v>
      </c>
      <c r="E661" s="15">
        <v>3800</v>
      </c>
      <c r="F661" s="15">
        <v>6200</v>
      </c>
      <c r="G661" s="15">
        <v>5300</v>
      </c>
      <c r="H661" s="15">
        <v>4100</v>
      </c>
      <c r="I661" s="15">
        <v>7100</v>
      </c>
    </row>
    <row r="662" spans="1:9" x14ac:dyDescent="0.2">
      <c r="A662" s="14">
        <v>2015</v>
      </c>
      <c r="B662" s="14" t="s">
        <v>177</v>
      </c>
      <c r="C662" s="14" t="s">
        <v>178</v>
      </c>
      <c r="D662" s="15">
        <v>4500</v>
      </c>
      <c r="E662" s="15">
        <v>3700</v>
      </c>
      <c r="F662" s="15">
        <v>6100</v>
      </c>
      <c r="G662" s="15">
        <v>5200</v>
      </c>
      <c r="H662" s="15">
        <v>4000</v>
      </c>
      <c r="I662" s="15">
        <v>7000</v>
      </c>
    </row>
    <row r="663" spans="1:9" x14ac:dyDescent="0.2">
      <c r="A663" s="14">
        <v>2016</v>
      </c>
      <c r="B663" s="14" t="s">
        <v>177</v>
      </c>
      <c r="C663" s="14" t="s">
        <v>178</v>
      </c>
      <c r="D663" s="15">
        <v>4400</v>
      </c>
      <c r="E663" s="15">
        <v>3500</v>
      </c>
      <c r="F663" s="15">
        <v>6000</v>
      </c>
      <c r="G663" s="15">
        <v>4900</v>
      </c>
      <c r="H663" s="15">
        <v>3800</v>
      </c>
      <c r="I663" s="15">
        <v>6800</v>
      </c>
    </row>
    <row r="664" spans="1:9" x14ac:dyDescent="0.2">
      <c r="A664" s="14">
        <v>2017</v>
      </c>
      <c r="B664" s="14" t="s">
        <v>177</v>
      </c>
      <c r="C664" s="14" t="s">
        <v>178</v>
      </c>
      <c r="D664" s="15">
        <v>4300</v>
      </c>
      <c r="E664" s="15">
        <v>3400</v>
      </c>
      <c r="F664" s="15">
        <v>5800</v>
      </c>
      <c r="G664" s="15">
        <v>4700</v>
      </c>
      <c r="H664" s="15">
        <v>3600</v>
      </c>
      <c r="I664" s="15">
        <v>6400</v>
      </c>
    </row>
    <row r="665" spans="1:9" x14ac:dyDescent="0.2">
      <c r="A665" s="14">
        <v>2018</v>
      </c>
      <c r="B665" s="14" t="s">
        <v>177</v>
      </c>
      <c r="C665" s="14" t="s">
        <v>178</v>
      </c>
      <c r="D665" s="15">
        <v>4100</v>
      </c>
      <c r="E665" s="15">
        <v>3300</v>
      </c>
      <c r="F665" s="15">
        <v>5700</v>
      </c>
      <c r="G665" s="15">
        <v>4500</v>
      </c>
      <c r="H665" s="15">
        <v>3400</v>
      </c>
      <c r="I665" s="15">
        <v>6500</v>
      </c>
    </row>
    <row r="666" spans="1:9" x14ac:dyDescent="0.2">
      <c r="A666" s="14">
        <v>2019</v>
      </c>
      <c r="B666" s="14" t="s">
        <v>177</v>
      </c>
      <c r="C666" s="14" t="s">
        <v>178</v>
      </c>
      <c r="D666" s="15">
        <v>4100</v>
      </c>
      <c r="E666" s="15">
        <v>3200</v>
      </c>
      <c r="F666" s="15">
        <v>5700</v>
      </c>
      <c r="G666" s="15">
        <v>4200</v>
      </c>
      <c r="H666" s="15">
        <v>3000</v>
      </c>
      <c r="I666" s="15">
        <v>5900</v>
      </c>
    </row>
    <row r="667" spans="1:9" x14ac:dyDescent="0.2">
      <c r="A667" s="14">
        <v>2020</v>
      </c>
      <c r="B667" s="14" t="s">
        <v>177</v>
      </c>
      <c r="C667" s="14" t="s">
        <v>178</v>
      </c>
      <c r="D667" s="15">
        <v>3900</v>
      </c>
      <c r="E667" s="15">
        <v>3100</v>
      </c>
      <c r="F667" s="15">
        <v>5400</v>
      </c>
      <c r="G667" s="15">
        <v>3800</v>
      </c>
      <c r="H667" s="15">
        <v>2700</v>
      </c>
      <c r="I667" s="15">
        <v>5500</v>
      </c>
    </row>
    <row r="668" spans="1:9" x14ac:dyDescent="0.2">
      <c r="A668" s="14">
        <v>2021</v>
      </c>
      <c r="B668" s="14" t="s">
        <v>177</v>
      </c>
      <c r="C668" s="14" t="s">
        <v>178</v>
      </c>
      <c r="D668" s="15">
        <v>3600</v>
      </c>
      <c r="E668" s="15">
        <v>2700</v>
      </c>
      <c r="F668" s="15">
        <v>5000</v>
      </c>
      <c r="G668" s="15">
        <v>3700</v>
      </c>
      <c r="H668" s="15">
        <v>2600</v>
      </c>
      <c r="I668" s="15">
        <v>5400</v>
      </c>
    </row>
    <row r="669" spans="1:9" x14ac:dyDescent="0.2">
      <c r="A669" s="14">
        <v>2022</v>
      </c>
      <c r="B669" s="14" t="s">
        <v>177</v>
      </c>
      <c r="C669" s="14" t="s">
        <v>178</v>
      </c>
      <c r="D669" s="15">
        <v>3500</v>
      </c>
      <c r="E669" s="15">
        <v>2600</v>
      </c>
      <c r="F669" s="15">
        <v>4900</v>
      </c>
      <c r="G669" s="15">
        <v>3500</v>
      </c>
      <c r="H669" s="15">
        <v>2400</v>
      </c>
      <c r="I669" s="15">
        <v>5200</v>
      </c>
    </row>
    <row r="670" spans="1:9" x14ac:dyDescent="0.2">
      <c r="A670" s="14">
        <v>2023</v>
      </c>
      <c r="B670" s="14" t="s">
        <v>177</v>
      </c>
      <c r="C670" s="14" t="s">
        <v>178</v>
      </c>
      <c r="D670" s="15">
        <v>3000</v>
      </c>
      <c r="E670" s="15">
        <v>2200</v>
      </c>
      <c r="F670" s="15">
        <v>4300</v>
      </c>
      <c r="G670" s="15">
        <v>3000</v>
      </c>
      <c r="H670" s="15">
        <v>2100</v>
      </c>
      <c r="I670" s="15">
        <v>4700</v>
      </c>
    </row>
    <row r="671" spans="1:9" x14ac:dyDescent="0.2">
      <c r="A671" s="14">
        <v>2024</v>
      </c>
      <c r="B671" s="14" t="s">
        <v>177</v>
      </c>
      <c r="C671" s="14" t="s">
        <v>178</v>
      </c>
      <c r="D671" s="15">
        <v>2400</v>
      </c>
      <c r="E671" s="15">
        <v>1800</v>
      </c>
      <c r="F671" s="15">
        <v>3700</v>
      </c>
      <c r="G671" s="15">
        <v>2800</v>
      </c>
      <c r="H671" s="15">
        <v>2000</v>
      </c>
      <c r="I671" s="15">
        <v>4500</v>
      </c>
    </row>
    <row r="672" spans="1:9" x14ac:dyDescent="0.2">
      <c r="A672" s="14">
        <v>1990</v>
      </c>
      <c r="B672" s="14" t="s">
        <v>179</v>
      </c>
      <c r="C672" s="14" t="s">
        <v>180</v>
      </c>
      <c r="D672" s="15" t="s">
        <v>30</v>
      </c>
      <c r="E672" s="15" t="s">
        <v>30</v>
      </c>
      <c r="F672" s="15" t="s">
        <v>31</v>
      </c>
      <c r="G672" s="15" t="s">
        <v>32</v>
      </c>
      <c r="H672" s="15" t="s">
        <v>32</v>
      </c>
      <c r="I672" s="15">
        <v>790</v>
      </c>
    </row>
    <row r="673" spans="1:9" x14ac:dyDescent="0.2">
      <c r="A673" s="14">
        <v>1991</v>
      </c>
      <c r="B673" s="14" t="s">
        <v>179</v>
      </c>
      <c r="C673" s="14" t="s">
        <v>180</v>
      </c>
      <c r="D673" s="15" t="s">
        <v>30</v>
      </c>
      <c r="E673" s="15" t="s">
        <v>30</v>
      </c>
      <c r="F673" s="15" t="s">
        <v>31</v>
      </c>
      <c r="G673" s="15">
        <v>550</v>
      </c>
      <c r="H673" s="15" t="s">
        <v>32</v>
      </c>
      <c r="I673" s="15">
        <v>820</v>
      </c>
    </row>
    <row r="674" spans="1:9" x14ac:dyDescent="0.2">
      <c r="A674" s="14">
        <v>1992</v>
      </c>
      <c r="B674" s="14" t="s">
        <v>179</v>
      </c>
      <c r="C674" s="14" t="s">
        <v>180</v>
      </c>
      <c r="D674" s="15" t="s">
        <v>30</v>
      </c>
      <c r="E674" s="15" t="s">
        <v>30</v>
      </c>
      <c r="F674" s="15" t="s">
        <v>32</v>
      </c>
      <c r="G674" s="15">
        <v>650</v>
      </c>
      <c r="H674" s="15" t="s">
        <v>32</v>
      </c>
      <c r="I674" s="15">
        <v>960</v>
      </c>
    </row>
    <row r="675" spans="1:9" x14ac:dyDescent="0.2">
      <c r="A675" s="14">
        <v>1993</v>
      </c>
      <c r="B675" s="14" t="s">
        <v>179</v>
      </c>
      <c r="C675" s="14" t="s">
        <v>180</v>
      </c>
      <c r="D675" s="15" t="s">
        <v>31</v>
      </c>
      <c r="E675" s="15" t="s">
        <v>30</v>
      </c>
      <c r="F675" s="15" t="s">
        <v>32</v>
      </c>
      <c r="G675" s="15">
        <v>760</v>
      </c>
      <c r="H675" s="15">
        <v>550</v>
      </c>
      <c r="I675" s="15">
        <v>1000</v>
      </c>
    </row>
    <row r="676" spans="1:9" x14ac:dyDescent="0.2">
      <c r="A676" s="14">
        <v>1994</v>
      </c>
      <c r="B676" s="14" t="s">
        <v>179</v>
      </c>
      <c r="C676" s="14" t="s">
        <v>180</v>
      </c>
      <c r="D676" s="15" t="s">
        <v>31</v>
      </c>
      <c r="E676" s="15" t="s">
        <v>31</v>
      </c>
      <c r="F676" s="15" t="s">
        <v>32</v>
      </c>
      <c r="G676" s="15">
        <v>900</v>
      </c>
      <c r="H676" s="15">
        <v>670</v>
      </c>
      <c r="I676" s="15">
        <v>1200</v>
      </c>
    </row>
    <row r="677" spans="1:9" x14ac:dyDescent="0.2">
      <c r="A677" s="14">
        <v>1995</v>
      </c>
      <c r="B677" s="14" t="s">
        <v>179</v>
      </c>
      <c r="C677" s="14" t="s">
        <v>180</v>
      </c>
      <c r="D677" s="15" t="s">
        <v>31</v>
      </c>
      <c r="E677" s="15" t="s">
        <v>31</v>
      </c>
      <c r="F677" s="15" t="s">
        <v>32</v>
      </c>
      <c r="G677" s="15">
        <v>1000</v>
      </c>
      <c r="H677" s="15">
        <v>780</v>
      </c>
      <c r="I677" s="15">
        <v>1300</v>
      </c>
    </row>
    <row r="678" spans="1:9" x14ac:dyDescent="0.2">
      <c r="A678" s="14">
        <v>1996</v>
      </c>
      <c r="B678" s="14" t="s">
        <v>179</v>
      </c>
      <c r="C678" s="14" t="s">
        <v>180</v>
      </c>
      <c r="D678" s="15" t="s">
        <v>32</v>
      </c>
      <c r="E678" s="15" t="s">
        <v>31</v>
      </c>
      <c r="F678" s="15" t="s">
        <v>32</v>
      </c>
      <c r="G678" s="15">
        <v>1100</v>
      </c>
      <c r="H678" s="15">
        <v>870</v>
      </c>
      <c r="I678" s="15">
        <v>1400</v>
      </c>
    </row>
    <row r="679" spans="1:9" x14ac:dyDescent="0.2">
      <c r="A679" s="14">
        <v>1997</v>
      </c>
      <c r="B679" s="14" t="s">
        <v>179</v>
      </c>
      <c r="C679" s="14" t="s">
        <v>180</v>
      </c>
      <c r="D679" s="15" t="s">
        <v>32</v>
      </c>
      <c r="E679" s="15" t="s">
        <v>32</v>
      </c>
      <c r="F679" s="15" t="s">
        <v>32</v>
      </c>
      <c r="G679" s="15">
        <v>1200</v>
      </c>
      <c r="H679" s="15">
        <v>920</v>
      </c>
      <c r="I679" s="15">
        <v>1400</v>
      </c>
    </row>
    <row r="680" spans="1:9" x14ac:dyDescent="0.2">
      <c r="A680" s="14">
        <v>1998</v>
      </c>
      <c r="B680" s="14" t="s">
        <v>179</v>
      </c>
      <c r="C680" s="14" t="s">
        <v>180</v>
      </c>
      <c r="D680" s="15" t="s">
        <v>32</v>
      </c>
      <c r="E680" s="15" t="s">
        <v>32</v>
      </c>
      <c r="F680" s="15">
        <v>520</v>
      </c>
      <c r="G680" s="15">
        <v>1200</v>
      </c>
      <c r="H680" s="15">
        <v>1000</v>
      </c>
      <c r="I680" s="15">
        <v>1400</v>
      </c>
    </row>
    <row r="681" spans="1:9" x14ac:dyDescent="0.2">
      <c r="A681" s="14">
        <v>1999</v>
      </c>
      <c r="B681" s="14" t="s">
        <v>179</v>
      </c>
      <c r="C681" s="14" t="s">
        <v>180</v>
      </c>
      <c r="D681" s="15" t="s">
        <v>32</v>
      </c>
      <c r="E681" s="15" t="s">
        <v>32</v>
      </c>
      <c r="F681" s="15">
        <v>570</v>
      </c>
      <c r="G681" s="15">
        <v>1200</v>
      </c>
      <c r="H681" s="15">
        <v>1000</v>
      </c>
      <c r="I681" s="15">
        <v>1400</v>
      </c>
    </row>
    <row r="682" spans="1:9" x14ac:dyDescent="0.2">
      <c r="A682" s="14">
        <v>2000</v>
      </c>
      <c r="B682" s="14" t="s">
        <v>179</v>
      </c>
      <c r="C682" s="14" t="s">
        <v>180</v>
      </c>
      <c r="D682" s="15" t="s">
        <v>32</v>
      </c>
      <c r="E682" s="15" t="s">
        <v>32</v>
      </c>
      <c r="F682" s="15">
        <v>630</v>
      </c>
      <c r="G682" s="15">
        <v>1200</v>
      </c>
      <c r="H682" s="15">
        <v>1000</v>
      </c>
      <c r="I682" s="15">
        <v>1400</v>
      </c>
    </row>
    <row r="683" spans="1:9" x14ac:dyDescent="0.2">
      <c r="A683" s="14">
        <v>2001</v>
      </c>
      <c r="B683" s="14" t="s">
        <v>179</v>
      </c>
      <c r="C683" s="14" t="s">
        <v>180</v>
      </c>
      <c r="D683" s="15">
        <v>500</v>
      </c>
      <c r="E683" s="15" t="s">
        <v>32</v>
      </c>
      <c r="F683" s="15">
        <v>690</v>
      </c>
      <c r="G683" s="15">
        <v>1100</v>
      </c>
      <c r="H683" s="15">
        <v>960</v>
      </c>
      <c r="I683" s="15">
        <v>1300</v>
      </c>
    </row>
    <row r="684" spans="1:9" x14ac:dyDescent="0.2">
      <c r="A684" s="14">
        <v>2002</v>
      </c>
      <c r="B684" s="14" t="s">
        <v>179</v>
      </c>
      <c r="C684" s="14" t="s">
        <v>180</v>
      </c>
      <c r="D684" s="15">
        <v>560</v>
      </c>
      <c r="E684" s="15" t="s">
        <v>32</v>
      </c>
      <c r="F684" s="15">
        <v>730</v>
      </c>
      <c r="G684" s="15">
        <v>1000</v>
      </c>
      <c r="H684" s="15">
        <v>870</v>
      </c>
      <c r="I684" s="15">
        <v>1200</v>
      </c>
    </row>
    <row r="685" spans="1:9" x14ac:dyDescent="0.2">
      <c r="A685" s="14">
        <v>2003</v>
      </c>
      <c r="B685" s="14" t="s">
        <v>179</v>
      </c>
      <c r="C685" s="14" t="s">
        <v>180</v>
      </c>
      <c r="D685" s="15">
        <v>610</v>
      </c>
      <c r="E685" s="15">
        <v>500</v>
      </c>
      <c r="F685" s="15">
        <v>760</v>
      </c>
      <c r="G685" s="15">
        <v>930</v>
      </c>
      <c r="H685" s="15">
        <v>750</v>
      </c>
      <c r="I685" s="15">
        <v>1100</v>
      </c>
    </row>
    <row r="686" spans="1:9" x14ac:dyDescent="0.2">
      <c r="A686" s="14">
        <v>2004</v>
      </c>
      <c r="B686" s="14" t="s">
        <v>179</v>
      </c>
      <c r="C686" s="14" t="s">
        <v>180</v>
      </c>
      <c r="D686" s="15">
        <v>640</v>
      </c>
      <c r="E686" s="15">
        <v>530</v>
      </c>
      <c r="F686" s="15">
        <v>790</v>
      </c>
      <c r="G686" s="15">
        <v>820</v>
      </c>
      <c r="H686" s="15">
        <v>640</v>
      </c>
      <c r="I686" s="15">
        <v>1000</v>
      </c>
    </row>
    <row r="687" spans="1:9" x14ac:dyDescent="0.2">
      <c r="A687" s="14">
        <v>2005</v>
      </c>
      <c r="B687" s="14" t="s">
        <v>179</v>
      </c>
      <c r="C687" s="14" t="s">
        <v>180</v>
      </c>
      <c r="D687" s="15">
        <v>640</v>
      </c>
      <c r="E687" s="15">
        <v>530</v>
      </c>
      <c r="F687" s="15">
        <v>780</v>
      </c>
      <c r="G687" s="15">
        <v>700</v>
      </c>
      <c r="H687" s="15">
        <v>520</v>
      </c>
      <c r="I687" s="15">
        <v>910</v>
      </c>
    </row>
    <row r="688" spans="1:9" x14ac:dyDescent="0.2">
      <c r="A688" s="14">
        <v>2006</v>
      </c>
      <c r="B688" s="14" t="s">
        <v>179</v>
      </c>
      <c r="C688" s="14" t="s">
        <v>180</v>
      </c>
      <c r="D688" s="15">
        <v>610</v>
      </c>
      <c r="E688" s="15" t="s">
        <v>32</v>
      </c>
      <c r="F688" s="15">
        <v>740</v>
      </c>
      <c r="G688" s="15">
        <v>590</v>
      </c>
      <c r="H688" s="15" t="s">
        <v>32</v>
      </c>
      <c r="I688" s="15">
        <v>800</v>
      </c>
    </row>
    <row r="689" spans="1:9" x14ac:dyDescent="0.2">
      <c r="A689" s="14">
        <v>2007</v>
      </c>
      <c r="B689" s="14" t="s">
        <v>179</v>
      </c>
      <c r="C689" s="14" t="s">
        <v>180</v>
      </c>
      <c r="D689" s="15">
        <v>560</v>
      </c>
      <c r="E689" s="15" t="s">
        <v>32</v>
      </c>
      <c r="F689" s="15">
        <v>690</v>
      </c>
      <c r="G689" s="15" t="s">
        <v>32</v>
      </c>
      <c r="H689" s="15" t="s">
        <v>32</v>
      </c>
      <c r="I689" s="15">
        <v>650</v>
      </c>
    </row>
    <row r="690" spans="1:9" x14ac:dyDescent="0.2">
      <c r="A690" s="14">
        <v>2008</v>
      </c>
      <c r="B690" s="14" t="s">
        <v>179</v>
      </c>
      <c r="C690" s="14" t="s">
        <v>180</v>
      </c>
      <c r="D690" s="15">
        <v>530</v>
      </c>
      <c r="E690" s="15" t="s">
        <v>32</v>
      </c>
      <c r="F690" s="15">
        <v>650</v>
      </c>
      <c r="G690" s="15" t="s">
        <v>32</v>
      </c>
      <c r="H690" s="15" t="s">
        <v>31</v>
      </c>
      <c r="I690" s="15">
        <v>540</v>
      </c>
    </row>
    <row r="691" spans="1:9" x14ac:dyDescent="0.2">
      <c r="A691" s="14">
        <v>2009</v>
      </c>
      <c r="B691" s="14" t="s">
        <v>179</v>
      </c>
      <c r="C691" s="14" t="s">
        <v>180</v>
      </c>
      <c r="D691" s="15">
        <v>510</v>
      </c>
      <c r="E691" s="15" t="s">
        <v>32</v>
      </c>
      <c r="F691" s="15">
        <v>620</v>
      </c>
      <c r="G691" s="15" t="s">
        <v>32</v>
      </c>
      <c r="H691" s="15" t="s">
        <v>30</v>
      </c>
      <c r="I691" s="15" t="s">
        <v>32</v>
      </c>
    </row>
    <row r="692" spans="1:9" x14ac:dyDescent="0.2">
      <c r="A692" s="14">
        <v>2010</v>
      </c>
      <c r="B692" s="14" t="s">
        <v>179</v>
      </c>
      <c r="C692" s="14" t="s">
        <v>180</v>
      </c>
      <c r="D692" s="15">
        <v>500</v>
      </c>
      <c r="E692" s="15" t="s">
        <v>32</v>
      </c>
      <c r="F692" s="15">
        <v>620</v>
      </c>
      <c r="G692" s="15" t="s">
        <v>31</v>
      </c>
      <c r="H692" s="15" t="s">
        <v>30</v>
      </c>
      <c r="I692" s="15" t="s">
        <v>32</v>
      </c>
    </row>
    <row r="693" spans="1:9" x14ac:dyDescent="0.2">
      <c r="A693" s="14">
        <v>2011</v>
      </c>
      <c r="B693" s="14" t="s">
        <v>179</v>
      </c>
      <c r="C693" s="14" t="s">
        <v>180</v>
      </c>
      <c r="D693" s="15">
        <v>520</v>
      </c>
      <c r="E693" s="15" t="s">
        <v>32</v>
      </c>
      <c r="F693" s="15">
        <v>630</v>
      </c>
      <c r="G693" s="15" t="s">
        <v>31</v>
      </c>
      <c r="H693" s="15" t="s">
        <v>30</v>
      </c>
      <c r="I693" s="15" t="s">
        <v>32</v>
      </c>
    </row>
    <row r="694" spans="1:9" x14ac:dyDescent="0.2">
      <c r="A694" s="14">
        <v>2012</v>
      </c>
      <c r="B694" s="14" t="s">
        <v>179</v>
      </c>
      <c r="C694" s="14" t="s">
        <v>180</v>
      </c>
      <c r="D694" s="15">
        <v>530</v>
      </c>
      <c r="E694" s="15" t="s">
        <v>32</v>
      </c>
      <c r="F694" s="15">
        <v>640</v>
      </c>
      <c r="G694" s="15" t="s">
        <v>31</v>
      </c>
      <c r="H694" s="15" t="s">
        <v>30</v>
      </c>
      <c r="I694" s="15" t="s">
        <v>32</v>
      </c>
    </row>
    <row r="695" spans="1:9" x14ac:dyDescent="0.2">
      <c r="A695" s="14">
        <v>2013</v>
      </c>
      <c r="B695" s="14" t="s">
        <v>179</v>
      </c>
      <c r="C695" s="14" t="s">
        <v>180</v>
      </c>
      <c r="D695" s="15">
        <v>510</v>
      </c>
      <c r="E695" s="15" t="s">
        <v>32</v>
      </c>
      <c r="F695" s="15">
        <v>620</v>
      </c>
      <c r="G695" s="15" t="s">
        <v>31</v>
      </c>
      <c r="H695" s="15" t="s">
        <v>30</v>
      </c>
      <c r="I695" s="15" t="s">
        <v>32</v>
      </c>
    </row>
    <row r="696" spans="1:9" x14ac:dyDescent="0.2">
      <c r="A696" s="14">
        <v>2014</v>
      </c>
      <c r="B696" s="14" t="s">
        <v>179</v>
      </c>
      <c r="C696" s="14" t="s">
        <v>180</v>
      </c>
      <c r="D696" s="15" t="s">
        <v>32</v>
      </c>
      <c r="E696" s="15" t="s">
        <v>32</v>
      </c>
      <c r="F696" s="15">
        <v>600</v>
      </c>
      <c r="G696" s="15" t="s">
        <v>31</v>
      </c>
      <c r="H696" s="15" t="s">
        <v>30</v>
      </c>
      <c r="I696" s="15" t="s">
        <v>32</v>
      </c>
    </row>
    <row r="697" spans="1:9" x14ac:dyDescent="0.2">
      <c r="A697" s="14">
        <v>2015</v>
      </c>
      <c r="B697" s="14" t="s">
        <v>179</v>
      </c>
      <c r="C697" s="14" t="s">
        <v>180</v>
      </c>
      <c r="D697" s="15" t="s">
        <v>32</v>
      </c>
      <c r="E697" s="15" t="s">
        <v>32</v>
      </c>
      <c r="F697" s="15">
        <v>570</v>
      </c>
      <c r="G697" s="15" t="s">
        <v>31</v>
      </c>
      <c r="H697" s="15" t="s">
        <v>30</v>
      </c>
      <c r="I697" s="15" t="s">
        <v>32</v>
      </c>
    </row>
    <row r="698" spans="1:9" x14ac:dyDescent="0.2">
      <c r="A698" s="14">
        <v>2016</v>
      </c>
      <c r="B698" s="14" t="s">
        <v>179</v>
      </c>
      <c r="C698" s="14" t="s">
        <v>180</v>
      </c>
      <c r="D698" s="15" t="s">
        <v>32</v>
      </c>
      <c r="E698" s="15" t="s">
        <v>32</v>
      </c>
      <c r="F698" s="15">
        <v>530</v>
      </c>
      <c r="G698" s="15" t="s">
        <v>31</v>
      </c>
      <c r="H698" s="15" t="s">
        <v>30</v>
      </c>
      <c r="I698" s="15" t="s">
        <v>32</v>
      </c>
    </row>
    <row r="699" spans="1:9" x14ac:dyDescent="0.2">
      <c r="A699" s="14">
        <v>2017</v>
      </c>
      <c r="B699" s="14" t="s">
        <v>179</v>
      </c>
      <c r="C699" s="14" t="s">
        <v>180</v>
      </c>
      <c r="D699" s="15" t="s">
        <v>32</v>
      </c>
      <c r="E699" s="15" t="s">
        <v>32</v>
      </c>
      <c r="F699" s="15" t="s">
        <v>32</v>
      </c>
      <c r="G699" s="15" t="s">
        <v>31</v>
      </c>
      <c r="H699" s="15" t="s">
        <v>30</v>
      </c>
      <c r="I699" s="15" t="s">
        <v>32</v>
      </c>
    </row>
    <row r="700" spans="1:9" x14ac:dyDescent="0.2">
      <c r="A700" s="14">
        <v>2018</v>
      </c>
      <c r="B700" s="14" t="s">
        <v>179</v>
      </c>
      <c r="C700" s="14" t="s">
        <v>180</v>
      </c>
      <c r="D700" s="15" t="s">
        <v>32</v>
      </c>
      <c r="E700" s="15" t="s">
        <v>32</v>
      </c>
      <c r="F700" s="15" t="s">
        <v>32</v>
      </c>
      <c r="G700" s="15" t="s">
        <v>31</v>
      </c>
      <c r="H700" s="15" t="s">
        <v>30</v>
      </c>
      <c r="I700" s="15" t="s">
        <v>32</v>
      </c>
    </row>
    <row r="701" spans="1:9" x14ac:dyDescent="0.2">
      <c r="A701" s="14">
        <v>2019</v>
      </c>
      <c r="B701" s="14" t="s">
        <v>179</v>
      </c>
      <c r="C701" s="14" t="s">
        <v>180</v>
      </c>
      <c r="D701" s="15" t="s">
        <v>32</v>
      </c>
      <c r="E701" s="15" t="s">
        <v>32</v>
      </c>
      <c r="F701" s="15" t="s">
        <v>32</v>
      </c>
      <c r="G701" s="15" t="s">
        <v>31</v>
      </c>
      <c r="H701" s="15" t="s">
        <v>30</v>
      </c>
      <c r="I701" s="15" t="s">
        <v>31</v>
      </c>
    </row>
    <row r="702" spans="1:9" x14ac:dyDescent="0.2">
      <c r="A702" s="14">
        <v>2020</v>
      </c>
      <c r="B702" s="14" t="s">
        <v>179</v>
      </c>
      <c r="C702" s="14" t="s">
        <v>180</v>
      </c>
      <c r="D702" s="15" t="s">
        <v>32</v>
      </c>
      <c r="E702" s="15" t="s">
        <v>31</v>
      </c>
      <c r="F702" s="15" t="s">
        <v>32</v>
      </c>
      <c r="G702" s="15" t="s">
        <v>31</v>
      </c>
      <c r="H702" s="15" t="s">
        <v>30</v>
      </c>
      <c r="I702" s="15" t="s">
        <v>31</v>
      </c>
    </row>
    <row r="703" spans="1:9" x14ac:dyDescent="0.2">
      <c r="A703" s="14">
        <v>2021</v>
      </c>
      <c r="B703" s="14" t="s">
        <v>179</v>
      </c>
      <c r="C703" s="14" t="s">
        <v>180</v>
      </c>
      <c r="D703" s="15" t="s">
        <v>32</v>
      </c>
      <c r="E703" s="15" t="s">
        <v>31</v>
      </c>
      <c r="F703" s="15" t="s">
        <v>32</v>
      </c>
      <c r="G703" s="15" t="s">
        <v>31</v>
      </c>
      <c r="H703" s="15" t="s">
        <v>30</v>
      </c>
      <c r="I703" s="15" t="s">
        <v>32</v>
      </c>
    </row>
    <row r="704" spans="1:9" x14ac:dyDescent="0.2">
      <c r="A704" s="14">
        <v>2022</v>
      </c>
      <c r="B704" s="14" t="s">
        <v>179</v>
      </c>
      <c r="C704" s="14" t="s">
        <v>180</v>
      </c>
      <c r="D704" s="15" t="s">
        <v>31</v>
      </c>
      <c r="E704" s="15" t="s">
        <v>31</v>
      </c>
      <c r="F704" s="15" t="s">
        <v>32</v>
      </c>
      <c r="G704" s="15" t="s">
        <v>31</v>
      </c>
      <c r="H704" s="15" t="s">
        <v>30</v>
      </c>
      <c r="I704" s="15" t="s">
        <v>32</v>
      </c>
    </row>
    <row r="705" spans="1:9" x14ac:dyDescent="0.2">
      <c r="A705" s="14">
        <v>2023</v>
      </c>
      <c r="B705" s="14" t="s">
        <v>179</v>
      </c>
      <c r="C705" s="14" t="s">
        <v>180</v>
      </c>
      <c r="D705" s="15" t="s">
        <v>31</v>
      </c>
      <c r="E705" s="15" t="s">
        <v>31</v>
      </c>
      <c r="F705" s="15" t="s">
        <v>32</v>
      </c>
      <c r="G705" s="15" t="s">
        <v>31</v>
      </c>
      <c r="H705" s="15" t="s">
        <v>30</v>
      </c>
      <c r="I705" s="15" t="s">
        <v>32</v>
      </c>
    </row>
    <row r="706" spans="1:9" x14ac:dyDescent="0.2">
      <c r="A706" s="14">
        <v>2024</v>
      </c>
      <c r="B706" s="14" t="s">
        <v>179</v>
      </c>
      <c r="C706" s="14" t="s">
        <v>180</v>
      </c>
      <c r="D706" s="15" t="s">
        <v>31</v>
      </c>
      <c r="E706" s="15" t="s">
        <v>31</v>
      </c>
      <c r="F706" s="15" t="s">
        <v>31</v>
      </c>
      <c r="G706" s="15" t="s">
        <v>31</v>
      </c>
      <c r="H706" s="15" t="s">
        <v>30</v>
      </c>
      <c r="I706" s="15" t="s">
        <v>31</v>
      </c>
    </row>
    <row r="707" spans="1:9" x14ac:dyDescent="0.2">
      <c r="A707" s="14">
        <v>1990</v>
      </c>
      <c r="B707" s="14" t="s">
        <v>181</v>
      </c>
      <c r="C707" s="14" t="s">
        <v>182</v>
      </c>
      <c r="D707" s="15" t="s">
        <v>32</v>
      </c>
      <c r="E707" s="15" t="s">
        <v>31</v>
      </c>
      <c r="F707" s="15" t="s">
        <v>32</v>
      </c>
      <c r="G707" s="15">
        <v>3400</v>
      </c>
      <c r="H707" s="15">
        <v>2500</v>
      </c>
      <c r="I707" s="15">
        <v>4500</v>
      </c>
    </row>
    <row r="708" spans="1:9" x14ac:dyDescent="0.2">
      <c r="A708" s="14">
        <v>1991</v>
      </c>
      <c r="B708" s="14" t="s">
        <v>181</v>
      </c>
      <c r="C708" s="14" t="s">
        <v>182</v>
      </c>
      <c r="D708" s="15" t="s">
        <v>32</v>
      </c>
      <c r="E708" s="15" t="s">
        <v>31</v>
      </c>
      <c r="F708" s="15" t="s">
        <v>32</v>
      </c>
      <c r="G708" s="15">
        <v>4200</v>
      </c>
      <c r="H708" s="15">
        <v>3200</v>
      </c>
      <c r="I708" s="15">
        <v>5200</v>
      </c>
    </row>
    <row r="709" spans="1:9" x14ac:dyDescent="0.2">
      <c r="A709" s="14">
        <v>1992</v>
      </c>
      <c r="B709" s="14" t="s">
        <v>181</v>
      </c>
      <c r="C709" s="14" t="s">
        <v>182</v>
      </c>
      <c r="D709" s="15" t="s">
        <v>32</v>
      </c>
      <c r="E709" s="15" t="s">
        <v>32</v>
      </c>
      <c r="F709" s="15">
        <v>640</v>
      </c>
      <c r="G709" s="15">
        <v>4600</v>
      </c>
      <c r="H709" s="15">
        <v>3700</v>
      </c>
      <c r="I709" s="15">
        <v>5700</v>
      </c>
    </row>
    <row r="710" spans="1:9" x14ac:dyDescent="0.2">
      <c r="A710" s="14">
        <v>1993</v>
      </c>
      <c r="B710" s="14" t="s">
        <v>181</v>
      </c>
      <c r="C710" s="14" t="s">
        <v>182</v>
      </c>
      <c r="D710" s="15">
        <v>640</v>
      </c>
      <c r="E710" s="15" t="s">
        <v>32</v>
      </c>
      <c r="F710" s="15">
        <v>870</v>
      </c>
      <c r="G710" s="15">
        <v>5100</v>
      </c>
      <c r="H710" s="15">
        <v>4100</v>
      </c>
      <c r="I710" s="15">
        <v>6200</v>
      </c>
    </row>
    <row r="711" spans="1:9" x14ac:dyDescent="0.2">
      <c r="A711" s="14">
        <v>1994</v>
      </c>
      <c r="B711" s="14" t="s">
        <v>181</v>
      </c>
      <c r="C711" s="14" t="s">
        <v>182</v>
      </c>
      <c r="D711" s="15">
        <v>860</v>
      </c>
      <c r="E711" s="15">
        <v>630</v>
      </c>
      <c r="F711" s="15">
        <v>1100</v>
      </c>
      <c r="G711" s="15">
        <v>5500</v>
      </c>
      <c r="H711" s="15">
        <v>4400</v>
      </c>
      <c r="I711" s="15">
        <v>6700</v>
      </c>
    </row>
    <row r="712" spans="1:9" x14ac:dyDescent="0.2">
      <c r="A712" s="14">
        <v>1995</v>
      </c>
      <c r="B712" s="14" t="s">
        <v>181</v>
      </c>
      <c r="C712" s="14" t="s">
        <v>182</v>
      </c>
      <c r="D712" s="15">
        <v>1100</v>
      </c>
      <c r="E712" s="15">
        <v>850</v>
      </c>
      <c r="F712" s="15">
        <v>1400</v>
      </c>
      <c r="G712" s="15">
        <v>5300</v>
      </c>
      <c r="H712" s="15">
        <v>4300</v>
      </c>
      <c r="I712" s="15">
        <v>6600</v>
      </c>
    </row>
    <row r="713" spans="1:9" x14ac:dyDescent="0.2">
      <c r="A713" s="14">
        <v>1996</v>
      </c>
      <c r="B713" s="14" t="s">
        <v>181</v>
      </c>
      <c r="C713" s="14" t="s">
        <v>182</v>
      </c>
      <c r="D713" s="15">
        <v>1400</v>
      </c>
      <c r="E713" s="15">
        <v>1100</v>
      </c>
      <c r="F713" s="15">
        <v>1800</v>
      </c>
      <c r="G713" s="15">
        <v>4800</v>
      </c>
      <c r="H713" s="15">
        <v>4000</v>
      </c>
      <c r="I713" s="15">
        <v>5900</v>
      </c>
    </row>
    <row r="714" spans="1:9" x14ac:dyDescent="0.2">
      <c r="A714" s="14">
        <v>1997</v>
      </c>
      <c r="B714" s="14" t="s">
        <v>181</v>
      </c>
      <c r="C714" s="14" t="s">
        <v>182</v>
      </c>
      <c r="D714" s="15">
        <v>1700</v>
      </c>
      <c r="E714" s="15">
        <v>1300</v>
      </c>
      <c r="F714" s="15">
        <v>2100</v>
      </c>
      <c r="G714" s="15">
        <v>4500</v>
      </c>
      <c r="H714" s="15">
        <v>3700</v>
      </c>
      <c r="I714" s="15">
        <v>5500</v>
      </c>
    </row>
    <row r="715" spans="1:9" x14ac:dyDescent="0.2">
      <c r="A715" s="14">
        <v>1998</v>
      </c>
      <c r="B715" s="14" t="s">
        <v>181</v>
      </c>
      <c r="C715" s="14" t="s">
        <v>182</v>
      </c>
      <c r="D715" s="15">
        <v>2000</v>
      </c>
      <c r="E715" s="15">
        <v>1600</v>
      </c>
      <c r="F715" s="15">
        <v>2400</v>
      </c>
      <c r="G715" s="15">
        <v>4100</v>
      </c>
      <c r="H715" s="15">
        <v>3500</v>
      </c>
      <c r="I715" s="15">
        <v>5000</v>
      </c>
    </row>
    <row r="716" spans="1:9" x14ac:dyDescent="0.2">
      <c r="A716" s="14">
        <v>1999</v>
      </c>
      <c r="B716" s="14" t="s">
        <v>181</v>
      </c>
      <c r="C716" s="14" t="s">
        <v>182</v>
      </c>
      <c r="D716" s="15">
        <v>2200</v>
      </c>
      <c r="E716" s="15">
        <v>1800</v>
      </c>
      <c r="F716" s="15">
        <v>2700</v>
      </c>
      <c r="G716" s="15">
        <v>3600</v>
      </c>
      <c r="H716" s="15">
        <v>3000</v>
      </c>
      <c r="I716" s="15">
        <v>4200</v>
      </c>
    </row>
    <row r="717" spans="1:9" x14ac:dyDescent="0.2">
      <c r="A717" s="14">
        <v>2000</v>
      </c>
      <c r="B717" s="14" t="s">
        <v>181</v>
      </c>
      <c r="C717" s="14" t="s">
        <v>182</v>
      </c>
      <c r="D717" s="15">
        <v>2500</v>
      </c>
      <c r="E717" s="15">
        <v>2100</v>
      </c>
      <c r="F717" s="15">
        <v>3000</v>
      </c>
      <c r="G717" s="15">
        <v>3200</v>
      </c>
      <c r="H717" s="15">
        <v>2700</v>
      </c>
      <c r="I717" s="15">
        <v>3800</v>
      </c>
    </row>
    <row r="718" spans="1:9" x14ac:dyDescent="0.2">
      <c r="A718" s="14">
        <v>2001</v>
      </c>
      <c r="B718" s="14" t="s">
        <v>181</v>
      </c>
      <c r="C718" s="14" t="s">
        <v>182</v>
      </c>
      <c r="D718" s="15">
        <v>2700</v>
      </c>
      <c r="E718" s="15">
        <v>2300</v>
      </c>
      <c r="F718" s="15">
        <v>3200</v>
      </c>
      <c r="G718" s="15">
        <v>2900</v>
      </c>
      <c r="H718" s="15">
        <v>2500</v>
      </c>
      <c r="I718" s="15">
        <v>3500</v>
      </c>
    </row>
    <row r="719" spans="1:9" x14ac:dyDescent="0.2">
      <c r="A719" s="14">
        <v>2002</v>
      </c>
      <c r="B719" s="14" t="s">
        <v>181</v>
      </c>
      <c r="C719" s="14" t="s">
        <v>182</v>
      </c>
      <c r="D719" s="15">
        <v>2900</v>
      </c>
      <c r="E719" s="15">
        <v>2400</v>
      </c>
      <c r="F719" s="15">
        <v>3400</v>
      </c>
      <c r="G719" s="15">
        <v>2600</v>
      </c>
      <c r="H719" s="15">
        <v>2200</v>
      </c>
      <c r="I719" s="15">
        <v>3100</v>
      </c>
    </row>
    <row r="720" spans="1:9" x14ac:dyDescent="0.2">
      <c r="A720" s="14">
        <v>2003</v>
      </c>
      <c r="B720" s="14" t="s">
        <v>181</v>
      </c>
      <c r="C720" s="14" t="s">
        <v>182</v>
      </c>
      <c r="D720" s="15">
        <v>3000</v>
      </c>
      <c r="E720" s="15">
        <v>2600</v>
      </c>
      <c r="F720" s="15">
        <v>3500</v>
      </c>
      <c r="G720" s="15">
        <v>2400</v>
      </c>
      <c r="H720" s="15">
        <v>2100</v>
      </c>
      <c r="I720" s="15">
        <v>2900</v>
      </c>
    </row>
    <row r="721" spans="1:9" x14ac:dyDescent="0.2">
      <c r="A721" s="14">
        <v>2004</v>
      </c>
      <c r="B721" s="14" t="s">
        <v>181</v>
      </c>
      <c r="C721" s="14" t="s">
        <v>182</v>
      </c>
      <c r="D721" s="15">
        <v>3100</v>
      </c>
      <c r="E721" s="15">
        <v>2600</v>
      </c>
      <c r="F721" s="15">
        <v>3600</v>
      </c>
      <c r="G721" s="15">
        <v>2400</v>
      </c>
      <c r="H721" s="15">
        <v>2000</v>
      </c>
      <c r="I721" s="15">
        <v>2800</v>
      </c>
    </row>
    <row r="722" spans="1:9" x14ac:dyDescent="0.2">
      <c r="A722" s="14">
        <v>2005</v>
      </c>
      <c r="B722" s="14" t="s">
        <v>181</v>
      </c>
      <c r="C722" s="14" t="s">
        <v>182</v>
      </c>
      <c r="D722" s="15">
        <v>3000</v>
      </c>
      <c r="E722" s="15">
        <v>2600</v>
      </c>
      <c r="F722" s="15">
        <v>3500</v>
      </c>
      <c r="G722" s="15">
        <v>2000</v>
      </c>
      <c r="H722" s="15">
        <v>1700</v>
      </c>
      <c r="I722" s="15">
        <v>2400</v>
      </c>
    </row>
    <row r="723" spans="1:9" x14ac:dyDescent="0.2">
      <c r="A723" s="14">
        <v>2006</v>
      </c>
      <c r="B723" s="14" t="s">
        <v>181</v>
      </c>
      <c r="C723" s="14" t="s">
        <v>182</v>
      </c>
      <c r="D723" s="15">
        <v>2800</v>
      </c>
      <c r="E723" s="15">
        <v>2300</v>
      </c>
      <c r="F723" s="15">
        <v>3300</v>
      </c>
      <c r="G723" s="15">
        <v>1800</v>
      </c>
      <c r="H723" s="15">
        <v>1400</v>
      </c>
      <c r="I723" s="15">
        <v>2200</v>
      </c>
    </row>
    <row r="724" spans="1:9" x14ac:dyDescent="0.2">
      <c r="A724" s="14">
        <v>2007</v>
      </c>
      <c r="B724" s="14" t="s">
        <v>181</v>
      </c>
      <c r="C724" s="14" t="s">
        <v>182</v>
      </c>
      <c r="D724" s="15">
        <v>2600</v>
      </c>
      <c r="E724" s="15">
        <v>2100</v>
      </c>
      <c r="F724" s="15">
        <v>3000</v>
      </c>
      <c r="G724" s="15">
        <v>1600</v>
      </c>
      <c r="H724" s="15">
        <v>1200</v>
      </c>
      <c r="I724" s="15">
        <v>2000</v>
      </c>
    </row>
    <row r="725" spans="1:9" x14ac:dyDescent="0.2">
      <c r="A725" s="14">
        <v>2008</v>
      </c>
      <c r="B725" s="14" t="s">
        <v>181</v>
      </c>
      <c r="C725" s="14" t="s">
        <v>182</v>
      </c>
      <c r="D725" s="15">
        <v>2500</v>
      </c>
      <c r="E725" s="15">
        <v>2100</v>
      </c>
      <c r="F725" s="15">
        <v>3000</v>
      </c>
      <c r="G725" s="15">
        <v>1400</v>
      </c>
      <c r="H725" s="15">
        <v>1100</v>
      </c>
      <c r="I725" s="15">
        <v>1800</v>
      </c>
    </row>
    <row r="726" spans="1:9" x14ac:dyDescent="0.2">
      <c r="A726" s="14">
        <v>2009</v>
      </c>
      <c r="B726" s="14" t="s">
        <v>181</v>
      </c>
      <c r="C726" s="14" t="s">
        <v>182</v>
      </c>
      <c r="D726" s="15">
        <v>2000</v>
      </c>
      <c r="E726" s="15">
        <v>1600</v>
      </c>
      <c r="F726" s="15">
        <v>2400</v>
      </c>
      <c r="G726" s="15">
        <v>1200</v>
      </c>
      <c r="H726" s="15">
        <v>870</v>
      </c>
      <c r="I726" s="15">
        <v>1600</v>
      </c>
    </row>
    <row r="727" spans="1:9" x14ac:dyDescent="0.2">
      <c r="A727" s="14">
        <v>2010</v>
      </c>
      <c r="B727" s="14" t="s">
        <v>181</v>
      </c>
      <c r="C727" s="14" t="s">
        <v>182</v>
      </c>
      <c r="D727" s="15">
        <v>1600</v>
      </c>
      <c r="E727" s="15">
        <v>1200</v>
      </c>
      <c r="F727" s="15">
        <v>1900</v>
      </c>
      <c r="G727" s="15">
        <v>940</v>
      </c>
      <c r="H727" s="15">
        <v>620</v>
      </c>
      <c r="I727" s="15">
        <v>1300</v>
      </c>
    </row>
    <row r="728" spans="1:9" x14ac:dyDescent="0.2">
      <c r="A728" s="14">
        <v>2011</v>
      </c>
      <c r="B728" s="14" t="s">
        <v>181</v>
      </c>
      <c r="C728" s="14" t="s">
        <v>182</v>
      </c>
      <c r="D728" s="15">
        <v>1500</v>
      </c>
      <c r="E728" s="15">
        <v>1200</v>
      </c>
      <c r="F728" s="15">
        <v>1800</v>
      </c>
      <c r="G728" s="15">
        <v>920</v>
      </c>
      <c r="H728" s="15">
        <v>630</v>
      </c>
      <c r="I728" s="15">
        <v>1200</v>
      </c>
    </row>
    <row r="729" spans="1:9" x14ac:dyDescent="0.2">
      <c r="A729" s="14">
        <v>2012</v>
      </c>
      <c r="B729" s="14" t="s">
        <v>181</v>
      </c>
      <c r="C729" s="14" t="s">
        <v>182</v>
      </c>
      <c r="D729" s="15">
        <v>1400</v>
      </c>
      <c r="E729" s="15">
        <v>1000</v>
      </c>
      <c r="F729" s="15">
        <v>1700</v>
      </c>
      <c r="G729" s="15">
        <v>800</v>
      </c>
      <c r="H729" s="15">
        <v>530</v>
      </c>
      <c r="I729" s="15">
        <v>1100</v>
      </c>
    </row>
    <row r="730" spans="1:9" x14ac:dyDescent="0.2">
      <c r="A730" s="14">
        <v>2013</v>
      </c>
      <c r="B730" s="14" t="s">
        <v>181</v>
      </c>
      <c r="C730" s="14" t="s">
        <v>182</v>
      </c>
      <c r="D730" s="15">
        <v>1300</v>
      </c>
      <c r="E730" s="15">
        <v>1000</v>
      </c>
      <c r="F730" s="15">
        <v>1600</v>
      </c>
      <c r="G730" s="15">
        <v>790</v>
      </c>
      <c r="H730" s="15">
        <v>500</v>
      </c>
      <c r="I730" s="15">
        <v>1100</v>
      </c>
    </row>
    <row r="731" spans="1:9" x14ac:dyDescent="0.2">
      <c r="A731" s="14">
        <v>2014</v>
      </c>
      <c r="B731" s="14" t="s">
        <v>181</v>
      </c>
      <c r="C731" s="14" t="s">
        <v>182</v>
      </c>
      <c r="D731" s="15">
        <v>1400</v>
      </c>
      <c r="E731" s="15">
        <v>1100</v>
      </c>
      <c r="F731" s="15">
        <v>1700</v>
      </c>
      <c r="G731" s="15">
        <v>830</v>
      </c>
      <c r="H731" s="15">
        <v>540</v>
      </c>
      <c r="I731" s="15">
        <v>1100</v>
      </c>
    </row>
    <row r="732" spans="1:9" x14ac:dyDescent="0.2">
      <c r="A732" s="14">
        <v>2015</v>
      </c>
      <c r="B732" s="14" t="s">
        <v>181</v>
      </c>
      <c r="C732" s="14" t="s">
        <v>182</v>
      </c>
      <c r="D732" s="15">
        <v>1400</v>
      </c>
      <c r="E732" s="15">
        <v>1100</v>
      </c>
      <c r="F732" s="15">
        <v>1800</v>
      </c>
      <c r="G732" s="15">
        <v>840</v>
      </c>
      <c r="H732" s="15">
        <v>550</v>
      </c>
      <c r="I732" s="15">
        <v>1100</v>
      </c>
    </row>
    <row r="733" spans="1:9" x14ac:dyDescent="0.2">
      <c r="A733" s="14">
        <v>2016</v>
      </c>
      <c r="B733" s="14" t="s">
        <v>181</v>
      </c>
      <c r="C733" s="14" t="s">
        <v>182</v>
      </c>
      <c r="D733" s="15">
        <v>1300</v>
      </c>
      <c r="E733" s="15">
        <v>1100</v>
      </c>
      <c r="F733" s="15">
        <v>1600</v>
      </c>
      <c r="G733" s="15">
        <v>800</v>
      </c>
      <c r="H733" s="15">
        <v>560</v>
      </c>
      <c r="I733" s="15">
        <v>1100</v>
      </c>
    </row>
    <row r="734" spans="1:9" x14ac:dyDescent="0.2">
      <c r="A734" s="14">
        <v>2017</v>
      </c>
      <c r="B734" s="14" t="s">
        <v>181</v>
      </c>
      <c r="C734" s="14" t="s">
        <v>182</v>
      </c>
      <c r="D734" s="15">
        <v>1200</v>
      </c>
      <c r="E734" s="15">
        <v>950</v>
      </c>
      <c r="F734" s="15">
        <v>1400</v>
      </c>
      <c r="G734" s="15">
        <v>770</v>
      </c>
      <c r="H734" s="15">
        <v>540</v>
      </c>
      <c r="I734" s="15">
        <v>1000</v>
      </c>
    </row>
    <row r="735" spans="1:9" x14ac:dyDescent="0.2">
      <c r="A735" s="14">
        <v>2018</v>
      </c>
      <c r="B735" s="14" t="s">
        <v>181</v>
      </c>
      <c r="C735" s="14" t="s">
        <v>182</v>
      </c>
      <c r="D735" s="15">
        <v>1000</v>
      </c>
      <c r="E735" s="15">
        <v>820</v>
      </c>
      <c r="F735" s="15">
        <v>1200</v>
      </c>
      <c r="G735" s="15">
        <v>800</v>
      </c>
      <c r="H735" s="15">
        <v>580</v>
      </c>
      <c r="I735" s="15">
        <v>1100</v>
      </c>
    </row>
    <row r="736" spans="1:9" x14ac:dyDescent="0.2">
      <c r="A736" s="14">
        <v>2019</v>
      </c>
      <c r="B736" s="14" t="s">
        <v>181</v>
      </c>
      <c r="C736" s="14" t="s">
        <v>182</v>
      </c>
      <c r="D736" s="15">
        <v>870</v>
      </c>
      <c r="E736" s="15">
        <v>680</v>
      </c>
      <c r="F736" s="15">
        <v>1000</v>
      </c>
      <c r="G736" s="15">
        <v>780</v>
      </c>
      <c r="H736" s="15">
        <v>550</v>
      </c>
      <c r="I736" s="15">
        <v>1100</v>
      </c>
    </row>
    <row r="737" spans="1:9" x14ac:dyDescent="0.2">
      <c r="A737" s="14">
        <v>2020</v>
      </c>
      <c r="B737" s="14" t="s">
        <v>181</v>
      </c>
      <c r="C737" s="14" t="s">
        <v>182</v>
      </c>
      <c r="D737" s="15">
        <v>840</v>
      </c>
      <c r="E737" s="15">
        <v>650</v>
      </c>
      <c r="F737" s="15">
        <v>1000</v>
      </c>
      <c r="G737" s="15">
        <v>840</v>
      </c>
      <c r="H737" s="15">
        <v>600</v>
      </c>
      <c r="I737" s="15">
        <v>1100</v>
      </c>
    </row>
    <row r="738" spans="1:9" x14ac:dyDescent="0.2">
      <c r="A738" s="14">
        <v>2021</v>
      </c>
      <c r="B738" s="14" t="s">
        <v>181</v>
      </c>
      <c r="C738" s="14" t="s">
        <v>182</v>
      </c>
      <c r="D738" s="15">
        <v>780</v>
      </c>
      <c r="E738" s="15">
        <v>620</v>
      </c>
      <c r="F738" s="15">
        <v>940</v>
      </c>
      <c r="G738" s="15">
        <v>780</v>
      </c>
      <c r="H738" s="15">
        <v>570</v>
      </c>
      <c r="I738" s="15">
        <v>1100</v>
      </c>
    </row>
    <row r="739" spans="1:9" x14ac:dyDescent="0.2">
      <c r="A739" s="14">
        <v>2022</v>
      </c>
      <c r="B739" s="14" t="s">
        <v>181</v>
      </c>
      <c r="C739" s="14" t="s">
        <v>182</v>
      </c>
      <c r="D739" s="15">
        <v>740</v>
      </c>
      <c r="E739" s="15">
        <v>590</v>
      </c>
      <c r="F739" s="15">
        <v>910</v>
      </c>
      <c r="G739" s="15">
        <v>710</v>
      </c>
      <c r="H739" s="15">
        <v>530</v>
      </c>
      <c r="I739" s="15">
        <v>1000</v>
      </c>
    </row>
    <row r="740" spans="1:9" x14ac:dyDescent="0.2">
      <c r="A740" s="14">
        <v>2023</v>
      </c>
      <c r="B740" s="14" t="s">
        <v>181</v>
      </c>
      <c r="C740" s="14" t="s">
        <v>182</v>
      </c>
      <c r="D740" s="15">
        <v>720</v>
      </c>
      <c r="E740" s="15">
        <v>570</v>
      </c>
      <c r="F740" s="15">
        <v>870</v>
      </c>
      <c r="G740" s="15">
        <v>710</v>
      </c>
      <c r="H740" s="15">
        <v>540</v>
      </c>
      <c r="I740" s="15">
        <v>1000</v>
      </c>
    </row>
    <row r="741" spans="1:9" x14ac:dyDescent="0.2">
      <c r="A741" s="14">
        <v>2024</v>
      </c>
      <c r="B741" s="14" t="s">
        <v>181</v>
      </c>
      <c r="C741" s="14" t="s">
        <v>182</v>
      </c>
      <c r="D741" s="15">
        <v>710</v>
      </c>
      <c r="E741" s="15">
        <v>550</v>
      </c>
      <c r="F741" s="15">
        <v>870</v>
      </c>
      <c r="G741" s="15">
        <v>740</v>
      </c>
      <c r="H741" s="15">
        <v>540</v>
      </c>
      <c r="I741" s="15">
        <v>1100</v>
      </c>
    </row>
    <row r="742" spans="1:9" x14ac:dyDescent="0.2">
      <c r="A742" s="14">
        <v>1990</v>
      </c>
      <c r="B742" s="14" t="s">
        <v>183</v>
      </c>
      <c r="C742" s="14" t="s">
        <v>184</v>
      </c>
      <c r="D742" s="15" t="s">
        <v>23</v>
      </c>
      <c r="E742" s="15">
        <v>9900</v>
      </c>
      <c r="F742" s="15" t="s">
        <v>16</v>
      </c>
      <c r="G742" s="15" t="s">
        <v>45</v>
      </c>
      <c r="H742" s="15" t="s">
        <v>121</v>
      </c>
      <c r="I742" s="15" t="s">
        <v>41</v>
      </c>
    </row>
    <row r="743" spans="1:9" x14ac:dyDescent="0.2">
      <c r="A743" s="14">
        <v>1991</v>
      </c>
      <c r="B743" s="14" t="s">
        <v>183</v>
      </c>
      <c r="C743" s="14" t="s">
        <v>184</v>
      </c>
      <c r="D743" s="15" t="s">
        <v>16</v>
      </c>
      <c r="E743" s="15" t="s">
        <v>23</v>
      </c>
      <c r="F743" s="15" t="s">
        <v>71</v>
      </c>
      <c r="G743" s="15" t="s">
        <v>40</v>
      </c>
      <c r="H743" s="15" t="s">
        <v>45</v>
      </c>
      <c r="I743" s="15" t="s">
        <v>64</v>
      </c>
    </row>
    <row r="744" spans="1:9" x14ac:dyDescent="0.2">
      <c r="A744" s="14">
        <v>1992</v>
      </c>
      <c r="B744" s="14" t="s">
        <v>183</v>
      </c>
      <c r="C744" s="14" t="s">
        <v>184</v>
      </c>
      <c r="D744" s="15" t="s">
        <v>49</v>
      </c>
      <c r="E744" s="15" t="s">
        <v>16</v>
      </c>
      <c r="F744" s="15" t="s">
        <v>46</v>
      </c>
      <c r="G744" s="15" t="s">
        <v>41</v>
      </c>
      <c r="H744" s="15" t="s">
        <v>3</v>
      </c>
      <c r="I744" s="15" t="s">
        <v>13</v>
      </c>
    </row>
    <row r="745" spans="1:9" x14ac:dyDescent="0.2">
      <c r="A745" s="14">
        <v>1993</v>
      </c>
      <c r="B745" s="14" t="s">
        <v>183</v>
      </c>
      <c r="C745" s="14" t="s">
        <v>184</v>
      </c>
      <c r="D745" s="15" t="s">
        <v>36</v>
      </c>
      <c r="E745" s="15" t="s">
        <v>49</v>
      </c>
      <c r="F745" s="15" t="s">
        <v>52</v>
      </c>
      <c r="G745" s="15" t="s">
        <v>64</v>
      </c>
      <c r="H745" s="15" t="s">
        <v>41</v>
      </c>
      <c r="I745" s="15" t="s">
        <v>5</v>
      </c>
    </row>
    <row r="746" spans="1:9" x14ac:dyDescent="0.2">
      <c r="A746" s="14">
        <v>1994</v>
      </c>
      <c r="B746" s="14" t="s">
        <v>183</v>
      </c>
      <c r="C746" s="14" t="s">
        <v>184</v>
      </c>
      <c r="D746" s="15" t="s">
        <v>82</v>
      </c>
      <c r="E746" s="15" t="s">
        <v>53</v>
      </c>
      <c r="F746" s="15" t="s">
        <v>132</v>
      </c>
      <c r="G746" s="15" t="s">
        <v>64</v>
      </c>
      <c r="H746" s="15" t="s">
        <v>41</v>
      </c>
      <c r="I746" s="15" t="s">
        <v>7</v>
      </c>
    </row>
    <row r="747" spans="1:9" x14ac:dyDescent="0.2">
      <c r="A747" s="14">
        <v>1995</v>
      </c>
      <c r="B747" s="14" t="s">
        <v>183</v>
      </c>
      <c r="C747" s="14" t="s">
        <v>184</v>
      </c>
      <c r="D747" s="15" t="s">
        <v>129</v>
      </c>
      <c r="E747" s="15" t="s">
        <v>145</v>
      </c>
      <c r="F747" s="15" t="s">
        <v>42</v>
      </c>
      <c r="G747" s="15" t="s">
        <v>13</v>
      </c>
      <c r="H747" s="15" t="s">
        <v>18</v>
      </c>
      <c r="I747" s="15" t="s">
        <v>63</v>
      </c>
    </row>
    <row r="748" spans="1:9" x14ac:dyDescent="0.2">
      <c r="A748" s="14">
        <v>1996</v>
      </c>
      <c r="B748" s="14" t="s">
        <v>183</v>
      </c>
      <c r="C748" s="14" t="s">
        <v>184</v>
      </c>
      <c r="D748" s="15" t="s">
        <v>54</v>
      </c>
      <c r="E748" s="15" t="s">
        <v>48</v>
      </c>
      <c r="F748" s="15" t="s">
        <v>197</v>
      </c>
      <c r="G748" s="15" t="s">
        <v>13</v>
      </c>
      <c r="H748" s="15" t="s">
        <v>18</v>
      </c>
      <c r="I748" s="15" t="s">
        <v>63</v>
      </c>
    </row>
    <row r="749" spans="1:9" x14ac:dyDescent="0.2">
      <c r="A749" s="14">
        <v>1997</v>
      </c>
      <c r="B749" s="14" t="s">
        <v>183</v>
      </c>
      <c r="C749" s="14" t="s">
        <v>184</v>
      </c>
      <c r="D749" s="15" t="s">
        <v>124</v>
      </c>
      <c r="E749" s="15" t="s">
        <v>43</v>
      </c>
      <c r="F749" s="15" t="s">
        <v>100</v>
      </c>
      <c r="G749" s="15" t="s">
        <v>13</v>
      </c>
      <c r="H749" s="15" t="s">
        <v>18</v>
      </c>
      <c r="I749" s="15" t="s">
        <v>63</v>
      </c>
    </row>
    <row r="750" spans="1:9" x14ac:dyDescent="0.2">
      <c r="A750" s="14">
        <v>1998</v>
      </c>
      <c r="B750" s="14" t="s">
        <v>183</v>
      </c>
      <c r="C750" s="14" t="s">
        <v>184</v>
      </c>
      <c r="D750" s="15" t="s">
        <v>101</v>
      </c>
      <c r="E750" s="15" t="s">
        <v>193</v>
      </c>
      <c r="F750" s="15" t="s">
        <v>196</v>
      </c>
      <c r="G750" s="15" t="s">
        <v>64</v>
      </c>
      <c r="H750" s="15" t="s">
        <v>41</v>
      </c>
      <c r="I750" s="15" t="s">
        <v>7</v>
      </c>
    </row>
    <row r="751" spans="1:9" x14ac:dyDescent="0.2">
      <c r="A751" s="14">
        <v>1999</v>
      </c>
      <c r="B751" s="14" t="s">
        <v>183</v>
      </c>
      <c r="C751" s="14" t="s">
        <v>184</v>
      </c>
      <c r="D751" s="15" t="s">
        <v>120</v>
      </c>
      <c r="E751" s="15" t="s">
        <v>170</v>
      </c>
      <c r="F751" s="15" t="s">
        <v>121</v>
      </c>
      <c r="G751" s="15" t="s">
        <v>64</v>
      </c>
      <c r="H751" s="15" t="s">
        <v>41</v>
      </c>
      <c r="I751" s="15" t="s">
        <v>7</v>
      </c>
    </row>
    <row r="752" spans="1:9" x14ac:dyDescent="0.2">
      <c r="A752" s="14">
        <v>2000</v>
      </c>
      <c r="B752" s="14" t="s">
        <v>183</v>
      </c>
      <c r="C752" s="14" t="s">
        <v>184</v>
      </c>
      <c r="D752" s="15" t="s">
        <v>4</v>
      </c>
      <c r="E752" s="15" t="s">
        <v>154</v>
      </c>
      <c r="F752" s="15" t="s">
        <v>34</v>
      </c>
      <c r="G752" s="15" t="s">
        <v>18</v>
      </c>
      <c r="H752" s="15" t="s">
        <v>41</v>
      </c>
      <c r="I752" s="15" t="s">
        <v>5</v>
      </c>
    </row>
    <row r="753" spans="1:9" x14ac:dyDescent="0.2">
      <c r="A753" s="14">
        <v>2001</v>
      </c>
      <c r="B753" s="14" t="s">
        <v>183</v>
      </c>
      <c r="C753" s="14" t="s">
        <v>184</v>
      </c>
      <c r="D753" s="15" t="s">
        <v>94</v>
      </c>
      <c r="E753" s="15" t="s">
        <v>102</v>
      </c>
      <c r="F753" s="15" t="s">
        <v>45</v>
      </c>
      <c r="G753" s="15" t="s">
        <v>18</v>
      </c>
      <c r="H753" s="15" t="s">
        <v>40</v>
      </c>
      <c r="I753" s="15" t="s">
        <v>13</v>
      </c>
    </row>
    <row r="754" spans="1:9" x14ac:dyDescent="0.2">
      <c r="A754" s="14">
        <v>2002</v>
      </c>
      <c r="B754" s="14" t="s">
        <v>183</v>
      </c>
      <c r="C754" s="14" t="s">
        <v>184</v>
      </c>
      <c r="D754" s="15" t="s">
        <v>114</v>
      </c>
      <c r="E754" s="15" t="s">
        <v>196</v>
      </c>
      <c r="F754" s="15" t="s">
        <v>3</v>
      </c>
      <c r="G754" s="15" t="s">
        <v>41</v>
      </c>
      <c r="H754" s="15" t="s">
        <v>3</v>
      </c>
      <c r="I754" s="15" t="s">
        <v>64</v>
      </c>
    </row>
    <row r="755" spans="1:9" x14ac:dyDescent="0.2">
      <c r="A755" s="14">
        <v>2003</v>
      </c>
      <c r="B755" s="14" t="s">
        <v>183</v>
      </c>
      <c r="C755" s="14" t="s">
        <v>184</v>
      </c>
      <c r="D755" s="15" t="s">
        <v>34</v>
      </c>
      <c r="E755" s="15" t="s">
        <v>106</v>
      </c>
      <c r="F755" s="15" t="s">
        <v>3</v>
      </c>
      <c r="G755" s="15" t="s">
        <v>40</v>
      </c>
      <c r="H755" s="15" t="s">
        <v>3</v>
      </c>
      <c r="I755" s="15" t="s">
        <v>64</v>
      </c>
    </row>
    <row r="756" spans="1:9" x14ac:dyDescent="0.2">
      <c r="A756" s="14">
        <v>2004</v>
      </c>
      <c r="B756" s="14" t="s">
        <v>183</v>
      </c>
      <c r="C756" s="14" t="s">
        <v>184</v>
      </c>
      <c r="D756" s="15" t="s">
        <v>34</v>
      </c>
      <c r="E756" s="15" t="s">
        <v>97</v>
      </c>
      <c r="F756" s="15" t="s">
        <v>40</v>
      </c>
      <c r="G756" s="15" t="s">
        <v>40</v>
      </c>
      <c r="H756" s="15" t="s">
        <v>3</v>
      </c>
      <c r="I756" s="15" t="s">
        <v>64</v>
      </c>
    </row>
    <row r="757" spans="1:9" x14ac:dyDescent="0.2">
      <c r="A757" s="14">
        <v>2005</v>
      </c>
      <c r="B757" s="14" t="s">
        <v>183</v>
      </c>
      <c r="C757" s="14" t="s">
        <v>184</v>
      </c>
      <c r="D757" s="15" t="s">
        <v>34</v>
      </c>
      <c r="E757" s="15" t="s">
        <v>106</v>
      </c>
      <c r="F757" s="15" t="s">
        <v>3</v>
      </c>
      <c r="G757" s="15" t="s">
        <v>40</v>
      </c>
      <c r="H757" s="15" t="s">
        <v>45</v>
      </c>
      <c r="I757" s="15" t="s">
        <v>18</v>
      </c>
    </row>
    <row r="758" spans="1:9" x14ac:dyDescent="0.2">
      <c r="A758" s="14">
        <v>2006</v>
      </c>
      <c r="B758" s="14" t="s">
        <v>183</v>
      </c>
      <c r="C758" s="14" t="s">
        <v>184</v>
      </c>
      <c r="D758" s="15" t="s">
        <v>89</v>
      </c>
      <c r="E758" s="15" t="s">
        <v>196</v>
      </c>
      <c r="F758" s="15" t="s">
        <v>3</v>
      </c>
      <c r="G758" s="15" t="s">
        <v>3</v>
      </c>
      <c r="H758" s="15" t="s">
        <v>45</v>
      </c>
      <c r="I758" s="15" t="s">
        <v>18</v>
      </c>
    </row>
    <row r="759" spans="1:9" x14ac:dyDescent="0.2">
      <c r="A759" s="14">
        <v>2007</v>
      </c>
      <c r="B759" s="14" t="s">
        <v>183</v>
      </c>
      <c r="C759" s="14" t="s">
        <v>184</v>
      </c>
      <c r="D759" s="15" t="s">
        <v>112</v>
      </c>
      <c r="E759" s="15" t="s">
        <v>57</v>
      </c>
      <c r="F759" s="15" t="s">
        <v>45</v>
      </c>
      <c r="G759" s="15" t="s">
        <v>3</v>
      </c>
      <c r="H759" s="15" t="s">
        <v>45</v>
      </c>
      <c r="I759" s="15" t="s">
        <v>18</v>
      </c>
    </row>
    <row r="760" spans="1:9" x14ac:dyDescent="0.2">
      <c r="A760" s="14">
        <v>2008</v>
      </c>
      <c r="B760" s="14" t="s">
        <v>183</v>
      </c>
      <c r="C760" s="14" t="s">
        <v>184</v>
      </c>
      <c r="D760" s="15" t="s">
        <v>126</v>
      </c>
      <c r="E760" s="15" t="s">
        <v>100</v>
      </c>
      <c r="F760" s="15" t="s">
        <v>45</v>
      </c>
      <c r="G760" s="15" t="s">
        <v>3</v>
      </c>
      <c r="H760" s="15" t="s">
        <v>34</v>
      </c>
      <c r="I760" s="15" t="s">
        <v>41</v>
      </c>
    </row>
    <row r="761" spans="1:9" x14ac:dyDescent="0.2">
      <c r="A761" s="14">
        <v>2009</v>
      </c>
      <c r="B761" s="14" t="s">
        <v>183</v>
      </c>
      <c r="C761" s="14" t="s">
        <v>184</v>
      </c>
      <c r="D761" s="15" t="s">
        <v>98</v>
      </c>
      <c r="E761" s="15" t="s">
        <v>142</v>
      </c>
      <c r="F761" s="15" t="s">
        <v>112</v>
      </c>
      <c r="G761" s="15" t="s">
        <v>45</v>
      </c>
      <c r="H761" s="15" t="s">
        <v>114</v>
      </c>
      <c r="I761" s="15" t="s">
        <v>41</v>
      </c>
    </row>
    <row r="762" spans="1:9" x14ac:dyDescent="0.2">
      <c r="A762" s="21">
        <v>2010</v>
      </c>
      <c r="B762" s="21" t="s">
        <v>183</v>
      </c>
      <c r="C762" s="21" t="s">
        <v>184</v>
      </c>
      <c r="D762" s="22" t="s">
        <v>100</v>
      </c>
      <c r="E762" s="22" t="s">
        <v>142</v>
      </c>
      <c r="F762" s="22" t="s">
        <v>121</v>
      </c>
      <c r="G762" s="22" t="s">
        <v>45</v>
      </c>
      <c r="H762" s="22" t="s">
        <v>65</v>
      </c>
      <c r="I762" s="22" t="s">
        <v>40</v>
      </c>
    </row>
    <row r="763" spans="1:9" x14ac:dyDescent="0.2">
      <c r="A763" s="21">
        <v>2011</v>
      </c>
      <c r="B763" s="21" t="s">
        <v>183</v>
      </c>
      <c r="C763" s="21" t="s">
        <v>184</v>
      </c>
      <c r="D763" s="22" t="s">
        <v>55</v>
      </c>
      <c r="E763" s="22" t="s">
        <v>99</v>
      </c>
      <c r="F763" s="22" t="s">
        <v>93</v>
      </c>
      <c r="G763" s="22" t="s">
        <v>45</v>
      </c>
      <c r="H763" s="22" t="s">
        <v>131</v>
      </c>
      <c r="I763" s="22" t="s">
        <v>40</v>
      </c>
    </row>
    <row r="764" spans="1:9" x14ac:dyDescent="0.2">
      <c r="A764" s="21">
        <v>2012</v>
      </c>
      <c r="B764" s="21" t="s">
        <v>183</v>
      </c>
      <c r="C764" s="21" t="s">
        <v>184</v>
      </c>
      <c r="D764" s="22" t="s">
        <v>161</v>
      </c>
      <c r="E764" s="22" t="s">
        <v>44</v>
      </c>
      <c r="F764" s="22" t="s">
        <v>112</v>
      </c>
      <c r="G764" s="22" t="s">
        <v>34</v>
      </c>
      <c r="H764" s="22" t="s">
        <v>104</v>
      </c>
      <c r="I764" s="22" t="s">
        <v>40</v>
      </c>
    </row>
    <row r="765" spans="1:9" x14ac:dyDescent="0.2">
      <c r="A765" s="21">
        <v>2013</v>
      </c>
      <c r="B765" s="21" t="s">
        <v>183</v>
      </c>
      <c r="C765" s="21" t="s">
        <v>184</v>
      </c>
      <c r="D765" s="22" t="s">
        <v>99</v>
      </c>
      <c r="E765" s="22" t="s">
        <v>42</v>
      </c>
      <c r="F765" s="22" t="s">
        <v>4</v>
      </c>
      <c r="G765" s="22" t="s">
        <v>112</v>
      </c>
      <c r="H765" s="22" t="s">
        <v>102</v>
      </c>
      <c r="I765" s="22" t="s">
        <v>3</v>
      </c>
    </row>
    <row r="766" spans="1:9" x14ac:dyDescent="0.2">
      <c r="A766" s="21">
        <v>2014</v>
      </c>
      <c r="B766" s="21" t="s">
        <v>183</v>
      </c>
      <c r="C766" s="21" t="s">
        <v>184</v>
      </c>
      <c r="D766" s="22" t="s">
        <v>58</v>
      </c>
      <c r="E766" s="22" t="s">
        <v>95</v>
      </c>
      <c r="F766" s="22" t="s">
        <v>102</v>
      </c>
      <c r="G766" s="22" t="s">
        <v>97</v>
      </c>
      <c r="H766" s="22" t="s">
        <v>100</v>
      </c>
      <c r="I766" s="22" t="s">
        <v>45</v>
      </c>
    </row>
    <row r="767" spans="1:9" x14ac:dyDescent="0.2">
      <c r="A767" s="21">
        <v>2015</v>
      </c>
      <c r="B767" s="21" t="s">
        <v>183</v>
      </c>
      <c r="C767" s="21" t="s">
        <v>184</v>
      </c>
      <c r="D767" s="22" t="s">
        <v>124</v>
      </c>
      <c r="E767" s="22" t="s">
        <v>86</v>
      </c>
      <c r="F767" s="22" t="s">
        <v>92</v>
      </c>
      <c r="G767" s="22" t="s">
        <v>126</v>
      </c>
      <c r="H767" s="22" t="s">
        <v>154</v>
      </c>
      <c r="I767" s="22" t="s">
        <v>45</v>
      </c>
    </row>
    <row r="768" spans="1:9" x14ac:dyDescent="0.2">
      <c r="A768" s="21">
        <v>2016</v>
      </c>
      <c r="B768" s="21" t="s">
        <v>183</v>
      </c>
      <c r="C768" s="21" t="s">
        <v>184</v>
      </c>
      <c r="D768" s="22" t="s">
        <v>193</v>
      </c>
      <c r="E768" s="22" t="s">
        <v>132</v>
      </c>
      <c r="F768" s="22" t="s">
        <v>100</v>
      </c>
      <c r="G768" s="22" t="s">
        <v>102</v>
      </c>
      <c r="H768" s="22" t="s">
        <v>197</v>
      </c>
      <c r="I768" s="22" t="s">
        <v>34</v>
      </c>
    </row>
    <row r="769" spans="1:9" x14ac:dyDescent="0.2">
      <c r="A769" s="21">
        <v>2017</v>
      </c>
      <c r="B769" s="21" t="s">
        <v>183</v>
      </c>
      <c r="C769" s="21" t="s">
        <v>184</v>
      </c>
      <c r="D769" s="22" t="s">
        <v>42</v>
      </c>
      <c r="E769" s="22" t="s">
        <v>122</v>
      </c>
      <c r="F769" s="22" t="s">
        <v>161</v>
      </c>
      <c r="G769" s="22" t="s">
        <v>161</v>
      </c>
      <c r="H769" s="22" t="s">
        <v>56</v>
      </c>
      <c r="I769" s="22" t="s">
        <v>65</v>
      </c>
    </row>
    <row r="770" spans="1:9" x14ac:dyDescent="0.2">
      <c r="A770" s="21">
        <v>2018</v>
      </c>
      <c r="B770" s="21" t="s">
        <v>183</v>
      </c>
      <c r="C770" s="21" t="s">
        <v>184</v>
      </c>
      <c r="D770" s="22" t="s">
        <v>193</v>
      </c>
      <c r="E770" s="22" t="s">
        <v>132</v>
      </c>
      <c r="F770" s="22" t="s">
        <v>120</v>
      </c>
      <c r="G770" s="22" t="s">
        <v>103</v>
      </c>
      <c r="H770" s="22" t="s">
        <v>42</v>
      </c>
      <c r="I770" s="22" t="s">
        <v>80</v>
      </c>
    </row>
    <row r="771" spans="1:9" x14ac:dyDescent="0.2">
      <c r="A771" s="21">
        <v>2019</v>
      </c>
      <c r="B771" s="21" t="s">
        <v>183</v>
      </c>
      <c r="C771" s="21" t="s">
        <v>184</v>
      </c>
      <c r="D771" s="22" t="s">
        <v>193</v>
      </c>
      <c r="E771" s="22" t="s">
        <v>132</v>
      </c>
      <c r="F771" s="22" t="s">
        <v>100</v>
      </c>
      <c r="G771" s="22" t="s">
        <v>99</v>
      </c>
      <c r="H771" s="22" t="s">
        <v>96</v>
      </c>
      <c r="I771" s="22" t="s">
        <v>126</v>
      </c>
    </row>
    <row r="772" spans="1:9" x14ac:dyDescent="0.2">
      <c r="A772" s="21">
        <v>2020</v>
      </c>
      <c r="B772" s="21" t="s">
        <v>183</v>
      </c>
      <c r="C772" s="21" t="s">
        <v>184</v>
      </c>
      <c r="D772" s="22" t="s">
        <v>95</v>
      </c>
      <c r="E772" s="22" t="s">
        <v>48</v>
      </c>
      <c r="F772" s="22" t="s">
        <v>99</v>
      </c>
      <c r="G772" s="22" t="s">
        <v>56</v>
      </c>
      <c r="H772" s="22" t="s">
        <v>50</v>
      </c>
      <c r="I772" s="22" t="s">
        <v>92</v>
      </c>
    </row>
    <row r="773" spans="1:9" x14ac:dyDescent="0.2">
      <c r="A773" s="21">
        <v>2021</v>
      </c>
      <c r="B773" s="21" t="s">
        <v>183</v>
      </c>
      <c r="C773" s="21" t="s">
        <v>184</v>
      </c>
      <c r="D773" s="22" t="s">
        <v>129</v>
      </c>
      <c r="E773" s="22" t="s">
        <v>82</v>
      </c>
      <c r="F773" s="22" t="s">
        <v>56</v>
      </c>
      <c r="G773" s="22" t="s">
        <v>128</v>
      </c>
      <c r="H773" s="22" t="s">
        <v>87</v>
      </c>
      <c r="I773" s="22" t="s">
        <v>133</v>
      </c>
    </row>
    <row r="774" spans="1:9" x14ac:dyDescent="0.2">
      <c r="A774" s="21">
        <v>2022</v>
      </c>
      <c r="B774" s="21" t="s">
        <v>183</v>
      </c>
      <c r="C774" s="21" t="s">
        <v>184</v>
      </c>
      <c r="D774" s="22" t="s">
        <v>74</v>
      </c>
      <c r="E774" s="22" t="s">
        <v>79</v>
      </c>
      <c r="F774" s="22" t="s">
        <v>54</v>
      </c>
      <c r="G774" s="22" t="s">
        <v>50</v>
      </c>
      <c r="H774" s="22" t="s">
        <v>75</v>
      </c>
      <c r="I774" s="22" t="s">
        <v>58</v>
      </c>
    </row>
    <row r="775" spans="1:9" x14ac:dyDescent="0.2">
      <c r="A775" s="21">
        <v>2023</v>
      </c>
      <c r="B775" s="21" t="s">
        <v>183</v>
      </c>
      <c r="C775" s="21" t="s">
        <v>184</v>
      </c>
      <c r="D775" s="22" t="s">
        <v>145</v>
      </c>
      <c r="E775" s="22" t="s">
        <v>53</v>
      </c>
      <c r="F775" s="22" t="s">
        <v>129</v>
      </c>
      <c r="G775" s="22" t="s">
        <v>48</v>
      </c>
      <c r="H775" s="22" t="s">
        <v>46</v>
      </c>
      <c r="I775" s="22" t="s">
        <v>193</v>
      </c>
    </row>
    <row r="776" spans="1:9" x14ac:dyDescent="0.2">
      <c r="A776" s="21">
        <v>2024</v>
      </c>
      <c r="B776" s="21" t="s">
        <v>183</v>
      </c>
      <c r="C776" s="21" t="s">
        <v>184</v>
      </c>
      <c r="D776" s="22" t="s">
        <v>46</v>
      </c>
      <c r="E776" s="22" t="s">
        <v>61</v>
      </c>
      <c r="F776" s="22" t="s">
        <v>74</v>
      </c>
      <c r="G776" s="22" t="s">
        <v>79</v>
      </c>
      <c r="H776" s="22" t="s">
        <v>47</v>
      </c>
      <c r="I776" s="22" t="s">
        <v>50</v>
      </c>
    </row>
    <row r="777" spans="1:9" x14ac:dyDescent="0.2">
      <c r="A777" s="14">
        <v>1990</v>
      </c>
      <c r="B777" s="14" t="s">
        <v>185</v>
      </c>
      <c r="C777" s="14" t="s">
        <v>186</v>
      </c>
      <c r="D777" s="15" t="s">
        <v>32</v>
      </c>
      <c r="E777" s="15" t="s">
        <v>31</v>
      </c>
      <c r="F777" s="15" t="s">
        <v>32</v>
      </c>
      <c r="G777" s="15">
        <v>1400</v>
      </c>
      <c r="H777" s="15">
        <v>1300</v>
      </c>
      <c r="I777" s="15">
        <v>1500</v>
      </c>
    </row>
    <row r="778" spans="1:9" x14ac:dyDescent="0.2">
      <c r="A778" s="14">
        <v>1991</v>
      </c>
      <c r="B778" s="14" t="s">
        <v>185</v>
      </c>
      <c r="C778" s="14" t="s">
        <v>186</v>
      </c>
      <c r="D778" s="15" t="s">
        <v>32</v>
      </c>
      <c r="E778" s="15" t="s">
        <v>32</v>
      </c>
      <c r="F778" s="15" t="s">
        <v>32</v>
      </c>
      <c r="G778" s="15">
        <v>1800</v>
      </c>
      <c r="H778" s="15">
        <v>1700</v>
      </c>
      <c r="I778" s="15">
        <v>1900</v>
      </c>
    </row>
    <row r="779" spans="1:9" x14ac:dyDescent="0.2">
      <c r="A779" s="14">
        <v>1992</v>
      </c>
      <c r="B779" s="14" t="s">
        <v>185</v>
      </c>
      <c r="C779" s="14" t="s">
        <v>186</v>
      </c>
      <c r="D779" s="15" t="s">
        <v>32</v>
      </c>
      <c r="E779" s="15" t="s">
        <v>32</v>
      </c>
      <c r="F779" s="15" t="s">
        <v>32</v>
      </c>
      <c r="G779" s="15">
        <v>2300</v>
      </c>
      <c r="H779" s="15">
        <v>2100</v>
      </c>
      <c r="I779" s="15">
        <v>2500</v>
      </c>
    </row>
    <row r="780" spans="1:9" x14ac:dyDescent="0.2">
      <c r="A780" s="14">
        <v>1993</v>
      </c>
      <c r="B780" s="14" t="s">
        <v>185</v>
      </c>
      <c r="C780" s="14" t="s">
        <v>186</v>
      </c>
      <c r="D780" s="15" t="s">
        <v>32</v>
      </c>
      <c r="E780" s="15" t="s">
        <v>32</v>
      </c>
      <c r="F780" s="15" t="s">
        <v>32</v>
      </c>
      <c r="G780" s="15">
        <v>2700</v>
      </c>
      <c r="H780" s="15">
        <v>2500</v>
      </c>
      <c r="I780" s="15">
        <v>3000</v>
      </c>
    </row>
    <row r="781" spans="1:9" x14ac:dyDescent="0.2">
      <c r="A781" s="14">
        <v>1994</v>
      </c>
      <c r="B781" s="14" t="s">
        <v>185</v>
      </c>
      <c r="C781" s="14" t="s">
        <v>186</v>
      </c>
      <c r="D781" s="15" t="s">
        <v>32</v>
      </c>
      <c r="E781" s="15" t="s">
        <v>32</v>
      </c>
      <c r="F781" s="15">
        <v>570</v>
      </c>
      <c r="G781" s="15">
        <v>3100</v>
      </c>
      <c r="H781" s="15">
        <v>2900</v>
      </c>
      <c r="I781" s="15">
        <v>3400</v>
      </c>
    </row>
    <row r="782" spans="1:9" x14ac:dyDescent="0.2">
      <c r="A782" s="14">
        <v>1995</v>
      </c>
      <c r="B782" s="14" t="s">
        <v>185</v>
      </c>
      <c r="C782" s="14" t="s">
        <v>186</v>
      </c>
      <c r="D782" s="15">
        <v>610</v>
      </c>
      <c r="E782" s="15">
        <v>550</v>
      </c>
      <c r="F782" s="15">
        <v>710</v>
      </c>
      <c r="G782" s="15">
        <v>3700</v>
      </c>
      <c r="H782" s="15">
        <v>3500</v>
      </c>
      <c r="I782" s="15">
        <v>4100</v>
      </c>
    </row>
    <row r="783" spans="1:9" x14ac:dyDescent="0.2">
      <c r="A783" s="14">
        <v>1996</v>
      </c>
      <c r="B783" s="14" t="s">
        <v>185</v>
      </c>
      <c r="C783" s="14" t="s">
        <v>186</v>
      </c>
      <c r="D783" s="15">
        <v>750</v>
      </c>
      <c r="E783" s="15">
        <v>680</v>
      </c>
      <c r="F783" s="15">
        <v>870</v>
      </c>
      <c r="G783" s="15">
        <v>4200</v>
      </c>
      <c r="H783" s="15">
        <v>4000</v>
      </c>
      <c r="I783" s="15">
        <v>4700</v>
      </c>
    </row>
    <row r="784" spans="1:9" x14ac:dyDescent="0.2">
      <c r="A784" s="14">
        <v>1997</v>
      </c>
      <c r="B784" s="14" t="s">
        <v>185</v>
      </c>
      <c r="C784" s="14" t="s">
        <v>186</v>
      </c>
      <c r="D784" s="15">
        <v>910</v>
      </c>
      <c r="E784" s="15">
        <v>830</v>
      </c>
      <c r="F784" s="15">
        <v>1100</v>
      </c>
      <c r="G784" s="15">
        <v>4900</v>
      </c>
      <c r="H784" s="15">
        <v>4700</v>
      </c>
      <c r="I784" s="15">
        <v>5400</v>
      </c>
    </row>
    <row r="785" spans="1:9" x14ac:dyDescent="0.2">
      <c r="A785" s="14">
        <v>1998</v>
      </c>
      <c r="B785" s="14" t="s">
        <v>185</v>
      </c>
      <c r="C785" s="14" t="s">
        <v>186</v>
      </c>
      <c r="D785" s="15">
        <v>1100</v>
      </c>
      <c r="E785" s="15">
        <v>1000</v>
      </c>
      <c r="F785" s="15">
        <v>1300</v>
      </c>
      <c r="G785" s="15">
        <v>5400</v>
      </c>
      <c r="H785" s="15">
        <v>5100</v>
      </c>
      <c r="I785" s="15">
        <v>5900</v>
      </c>
    </row>
    <row r="786" spans="1:9" x14ac:dyDescent="0.2">
      <c r="A786" s="14">
        <v>1999</v>
      </c>
      <c r="B786" s="14" t="s">
        <v>185</v>
      </c>
      <c r="C786" s="14" t="s">
        <v>186</v>
      </c>
      <c r="D786" s="15">
        <v>1300</v>
      </c>
      <c r="E786" s="15">
        <v>1200</v>
      </c>
      <c r="F786" s="15">
        <v>1500</v>
      </c>
      <c r="G786" s="15">
        <v>5600</v>
      </c>
      <c r="H786" s="15">
        <v>5400</v>
      </c>
      <c r="I786" s="15">
        <v>6200</v>
      </c>
    </row>
    <row r="787" spans="1:9" x14ac:dyDescent="0.2">
      <c r="A787" s="14">
        <v>2000</v>
      </c>
      <c r="B787" s="14" t="s">
        <v>185</v>
      </c>
      <c r="C787" s="14" t="s">
        <v>186</v>
      </c>
      <c r="D787" s="15">
        <v>1600</v>
      </c>
      <c r="E787" s="15">
        <v>1400</v>
      </c>
      <c r="F787" s="15">
        <v>1800</v>
      </c>
      <c r="G787" s="15">
        <v>5500</v>
      </c>
      <c r="H787" s="15">
        <v>5200</v>
      </c>
      <c r="I787" s="15">
        <v>6100</v>
      </c>
    </row>
    <row r="788" spans="1:9" x14ac:dyDescent="0.2">
      <c r="A788" s="14">
        <v>2001</v>
      </c>
      <c r="B788" s="14" t="s">
        <v>185</v>
      </c>
      <c r="C788" s="14" t="s">
        <v>186</v>
      </c>
      <c r="D788" s="15">
        <v>1800</v>
      </c>
      <c r="E788" s="15">
        <v>1600</v>
      </c>
      <c r="F788" s="15">
        <v>2100</v>
      </c>
      <c r="G788" s="15">
        <v>4800</v>
      </c>
      <c r="H788" s="15">
        <v>4600</v>
      </c>
      <c r="I788" s="15">
        <v>5300</v>
      </c>
    </row>
    <row r="789" spans="1:9" x14ac:dyDescent="0.2">
      <c r="A789" s="14">
        <v>2002</v>
      </c>
      <c r="B789" s="14" t="s">
        <v>185</v>
      </c>
      <c r="C789" s="14" t="s">
        <v>186</v>
      </c>
      <c r="D789" s="15">
        <v>2000</v>
      </c>
      <c r="E789" s="15">
        <v>1900</v>
      </c>
      <c r="F789" s="15">
        <v>2300</v>
      </c>
      <c r="G789" s="15">
        <v>4100</v>
      </c>
      <c r="H789" s="15">
        <v>3900</v>
      </c>
      <c r="I789" s="15">
        <v>4600</v>
      </c>
    </row>
    <row r="790" spans="1:9" x14ac:dyDescent="0.2">
      <c r="A790" s="14">
        <v>2003</v>
      </c>
      <c r="B790" s="14" t="s">
        <v>185</v>
      </c>
      <c r="C790" s="14" t="s">
        <v>186</v>
      </c>
      <c r="D790" s="15">
        <v>2300</v>
      </c>
      <c r="E790" s="15">
        <v>2100</v>
      </c>
      <c r="F790" s="15">
        <v>2600</v>
      </c>
      <c r="G790" s="15">
        <v>3400</v>
      </c>
      <c r="H790" s="15">
        <v>3200</v>
      </c>
      <c r="I790" s="15">
        <v>3800</v>
      </c>
    </row>
    <row r="791" spans="1:9" x14ac:dyDescent="0.2">
      <c r="A791" s="14">
        <v>2004</v>
      </c>
      <c r="B791" s="14" t="s">
        <v>185</v>
      </c>
      <c r="C791" s="14" t="s">
        <v>186</v>
      </c>
      <c r="D791" s="15">
        <v>2500</v>
      </c>
      <c r="E791" s="15">
        <v>2300</v>
      </c>
      <c r="F791" s="15">
        <v>2800</v>
      </c>
      <c r="G791" s="15">
        <v>2900</v>
      </c>
      <c r="H791" s="15">
        <v>2700</v>
      </c>
      <c r="I791" s="15">
        <v>3300</v>
      </c>
    </row>
    <row r="792" spans="1:9" x14ac:dyDescent="0.2">
      <c r="A792" s="14">
        <v>2005</v>
      </c>
      <c r="B792" s="14" t="s">
        <v>185</v>
      </c>
      <c r="C792" s="14" t="s">
        <v>186</v>
      </c>
      <c r="D792" s="15">
        <v>2700</v>
      </c>
      <c r="E792" s="15">
        <v>2500</v>
      </c>
      <c r="F792" s="15">
        <v>3000</v>
      </c>
      <c r="G792" s="15">
        <v>2500</v>
      </c>
      <c r="H792" s="15">
        <v>2300</v>
      </c>
      <c r="I792" s="15">
        <v>2800</v>
      </c>
    </row>
    <row r="793" spans="1:9" x14ac:dyDescent="0.2">
      <c r="A793" s="14">
        <v>2006</v>
      </c>
      <c r="B793" s="14" t="s">
        <v>185</v>
      </c>
      <c r="C793" s="14" t="s">
        <v>186</v>
      </c>
      <c r="D793" s="15">
        <v>2800</v>
      </c>
      <c r="E793" s="15">
        <v>2600</v>
      </c>
      <c r="F793" s="15">
        <v>3200</v>
      </c>
      <c r="G793" s="15">
        <v>2400</v>
      </c>
      <c r="H793" s="15">
        <v>2200</v>
      </c>
      <c r="I793" s="15">
        <v>2600</v>
      </c>
    </row>
    <row r="794" spans="1:9" x14ac:dyDescent="0.2">
      <c r="A794" s="14">
        <v>2007</v>
      </c>
      <c r="B794" s="14" t="s">
        <v>185</v>
      </c>
      <c r="C794" s="14" t="s">
        <v>186</v>
      </c>
      <c r="D794" s="15">
        <v>2000</v>
      </c>
      <c r="E794" s="15">
        <v>1800</v>
      </c>
      <c r="F794" s="15">
        <v>2300</v>
      </c>
      <c r="G794" s="15">
        <v>2000</v>
      </c>
      <c r="H794" s="15">
        <v>1800</v>
      </c>
      <c r="I794" s="15">
        <v>2300</v>
      </c>
    </row>
    <row r="795" spans="1:9" x14ac:dyDescent="0.2">
      <c r="A795" s="14">
        <v>2008</v>
      </c>
      <c r="B795" s="14" t="s">
        <v>185</v>
      </c>
      <c r="C795" s="14" t="s">
        <v>186</v>
      </c>
      <c r="D795" s="15">
        <v>1300</v>
      </c>
      <c r="E795" s="15">
        <v>1100</v>
      </c>
      <c r="F795" s="15">
        <v>1600</v>
      </c>
      <c r="G795" s="15">
        <v>1700</v>
      </c>
      <c r="H795" s="15">
        <v>1500</v>
      </c>
      <c r="I795" s="15">
        <v>2000</v>
      </c>
    </row>
    <row r="796" spans="1:9" x14ac:dyDescent="0.2">
      <c r="A796" s="14">
        <v>2009</v>
      </c>
      <c r="B796" s="14" t="s">
        <v>185</v>
      </c>
      <c r="C796" s="14" t="s">
        <v>186</v>
      </c>
      <c r="D796" s="15">
        <v>1200</v>
      </c>
      <c r="E796" s="15">
        <v>1000</v>
      </c>
      <c r="F796" s="15">
        <v>1500</v>
      </c>
      <c r="G796" s="15">
        <v>1700</v>
      </c>
      <c r="H796" s="15">
        <v>1500</v>
      </c>
      <c r="I796" s="15">
        <v>1900</v>
      </c>
    </row>
    <row r="797" spans="1:9" x14ac:dyDescent="0.2">
      <c r="A797" s="14">
        <v>2010</v>
      </c>
      <c r="B797" s="14" t="s">
        <v>185</v>
      </c>
      <c r="C797" s="14" t="s">
        <v>186</v>
      </c>
      <c r="D797" s="15">
        <v>1200</v>
      </c>
      <c r="E797" s="15">
        <v>1000</v>
      </c>
      <c r="F797" s="15">
        <v>1500</v>
      </c>
      <c r="G797" s="15">
        <v>1600</v>
      </c>
      <c r="H797" s="15">
        <v>1400</v>
      </c>
      <c r="I797" s="15">
        <v>1800</v>
      </c>
    </row>
    <row r="798" spans="1:9" x14ac:dyDescent="0.2">
      <c r="A798" s="14">
        <v>2011</v>
      </c>
      <c r="B798" s="14" t="s">
        <v>185</v>
      </c>
      <c r="C798" s="14" t="s">
        <v>186</v>
      </c>
      <c r="D798" s="15">
        <v>1300</v>
      </c>
      <c r="E798" s="15">
        <v>1100</v>
      </c>
      <c r="F798" s="15">
        <v>1600</v>
      </c>
      <c r="G798" s="15">
        <v>1500</v>
      </c>
      <c r="H798" s="15">
        <v>1300</v>
      </c>
      <c r="I798" s="15">
        <v>1800</v>
      </c>
    </row>
    <row r="799" spans="1:9" x14ac:dyDescent="0.2">
      <c r="A799" s="14">
        <v>2012</v>
      </c>
      <c r="B799" s="14" t="s">
        <v>185</v>
      </c>
      <c r="C799" s="14" t="s">
        <v>186</v>
      </c>
      <c r="D799" s="15">
        <v>1400</v>
      </c>
      <c r="E799" s="15">
        <v>1200</v>
      </c>
      <c r="F799" s="15">
        <v>1800</v>
      </c>
      <c r="G799" s="15">
        <v>1300</v>
      </c>
      <c r="H799" s="15">
        <v>1100</v>
      </c>
      <c r="I799" s="15">
        <v>1600</v>
      </c>
    </row>
    <row r="800" spans="1:9" x14ac:dyDescent="0.2">
      <c r="A800" s="14">
        <v>2013</v>
      </c>
      <c r="B800" s="14" t="s">
        <v>185</v>
      </c>
      <c r="C800" s="14" t="s">
        <v>186</v>
      </c>
      <c r="D800" s="15">
        <v>1500</v>
      </c>
      <c r="E800" s="15">
        <v>1300</v>
      </c>
      <c r="F800" s="15">
        <v>1900</v>
      </c>
      <c r="G800" s="15">
        <v>1200</v>
      </c>
      <c r="H800" s="15">
        <v>980</v>
      </c>
      <c r="I800" s="15">
        <v>1500</v>
      </c>
    </row>
    <row r="801" spans="1:9" x14ac:dyDescent="0.2">
      <c r="A801" s="14">
        <v>2014</v>
      </c>
      <c r="B801" s="14" t="s">
        <v>185</v>
      </c>
      <c r="C801" s="14" t="s">
        <v>186</v>
      </c>
      <c r="D801" s="15">
        <v>1500</v>
      </c>
      <c r="E801" s="15">
        <v>1200</v>
      </c>
      <c r="F801" s="15">
        <v>1800</v>
      </c>
      <c r="G801" s="15">
        <v>1200</v>
      </c>
      <c r="H801" s="15">
        <v>940</v>
      </c>
      <c r="I801" s="15">
        <v>1500</v>
      </c>
    </row>
    <row r="802" spans="1:9" x14ac:dyDescent="0.2">
      <c r="A802" s="14">
        <v>2015</v>
      </c>
      <c r="B802" s="14" t="s">
        <v>185</v>
      </c>
      <c r="C802" s="14" t="s">
        <v>186</v>
      </c>
      <c r="D802" s="15">
        <v>1400</v>
      </c>
      <c r="E802" s="15">
        <v>1200</v>
      </c>
      <c r="F802" s="15">
        <v>1700</v>
      </c>
      <c r="G802" s="15">
        <v>1200</v>
      </c>
      <c r="H802" s="15">
        <v>960</v>
      </c>
      <c r="I802" s="15">
        <v>1500</v>
      </c>
    </row>
    <row r="803" spans="1:9" x14ac:dyDescent="0.2">
      <c r="A803" s="14">
        <v>2016</v>
      </c>
      <c r="B803" s="14" t="s">
        <v>185</v>
      </c>
      <c r="C803" s="14" t="s">
        <v>186</v>
      </c>
      <c r="D803" s="15">
        <v>1400</v>
      </c>
      <c r="E803" s="15">
        <v>1200</v>
      </c>
      <c r="F803" s="15">
        <v>1600</v>
      </c>
      <c r="G803" s="15">
        <v>1300</v>
      </c>
      <c r="H803" s="15">
        <v>1100</v>
      </c>
      <c r="I803" s="15">
        <v>1600</v>
      </c>
    </row>
    <row r="804" spans="1:9" x14ac:dyDescent="0.2">
      <c r="A804" s="14">
        <v>2017</v>
      </c>
      <c r="B804" s="14" t="s">
        <v>185</v>
      </c>
      <c r="C804" s="14" t="s">
        <v>186</v>
      </c>
      <c r="D804" s="15">
        <v>1300</v>
      </c>
      <c r="E804" s="15">
        <v>1100</v>
      </c>
      <c r="F804" s="15">
        <v>1500</v>
      </c>
      <c r="G804" s="15">
        <v>1300</v>
      </c>
      <c r="H804" s="15">
        <v>1200</v>
      </c>
      <c r="I804" s="15">
        <v>1600</v>
      </c>
    </row>
    <row r="805" spans="1:9" x14ac:dyDescent="0.2">
      <c r="A805" s="14">
        <v>2018</v>
      </c>
      <c r="B805" s="14" t="s">
        <v>185</v>
      </c>
      <c r="C805" s="14" t="s">
        <v>186</v>
      </c>
      <c r="D805" s="15">
        <v>1200</v>
      </c>
      <c r="E805" s="15">
        <v>1000</v>
      </c>
      <c r="F805" s="15">
        <v>1400</v>
      </c>
      <c r="G805" s="15">
        <v>1500</v>
      </c>
      <c r="H805" s="15">
        <v>1400</v>
      </c>
      <c r="I805" s="15">
        <v>1800</v>
      </c>
    </row>
    <row r="806" spans="1:9" x14ac:dyDescent="0.2">
      <c r="A806" s="14">
        <v>2019</v>
      </c>
      <c r="B806" s="14" t="s">
        <v>185</v>
      </c>
      <c r="C806" s="14" t="s">
        <v>186</v>
      </c>
      <c r="D806" s="15">
        <v>1000</v>
      </c>
      <c r="E806" s="15">
        <v>860</v>
      </c>
      <c r="F806" s="15">
        <v>1200</v>
      </c>
      <c r="G806" s="15">
        <v>1600</v>
      </c>
      <c r="H806" s="15">
        <v>1400</v>
      </c>
      <c r="I806" s="15">
        <v>1800</v>
      </c>
    </row>
    <row r="807" spans="1:9" x14ac:dyDescent="0.2">
      <c r="A807" s="14">
        <v>2020</v>
      </c>
      <c r="B807" s="14" t="s">
        <v>185</v>
      </c>
      <c r="C807" s="14" t="s">
        <v>186</v>
      </c>
      <c r="D807" s="15">
        <v>940</v>
      </c>
      <c r="E807" s="15">
        <v>760</v>
      </c>
      <c r="F807" s="15">
        <v>1100</v>
      </c>
      <c r="G807" s="15">
        <v>1700</v>
      </c>
      <c r="H807" s="15">
        <v>1500</v>
      </c>
      <c r="I807" s="15">
        <v>1900</v>
      </c>
    </row>
    <row r="808" spans="1:9" x14ac:dyDescent="0.2">
      <c r="A808" s="14">
        <v>2021</v>
      </c>
      <c r="B808" s="14" t="s">
        <v>185</v>
      </c>
      <c r="C808" s="14" t="s">
        <v>186</v>
      </c>
      <c r="D808" s="15">
        <v>890</v>
      </c>
      <c r="E808" s="15">
        <v>710</v>
      </c>
      <c r="F808" s="15">
        <v>1100</v>
      </c>
      <c r="G808" s="15">
        <v>2100</v>
      </c>
      <c r="H808" s="15">
        <v>1900</v>
      </c>
      <c r="I808" s="15">
        <v>2400</v>
      </c>
    </row>
    <row r="809" spans="1:9" x14ac:dyDescent="0.2">
      <c r="A809" s="14">
        <v>2022</v>
      </c>
      <c r="B809" s="14" t="s">
        <v>185</v>
      </c>
      <c r="C809" s="14" t="s">
        <v>186</v>
      </c>
      <c r="D809" s="15">
        <v>860</v>
      </c>
      <c r="E809" s="15">
        <v>700</v>
      </c>
      <c r="F809" s="15">
        <v>1000</v>
      </c>
      <c r="G809" s="15">
        <v>2900</v>
      </c>
      <c r="H809" s="15">
        <v>2700</v>
      </c>
      <c r="I809" s="15">
        <v>3300</v>
      </c>
    </row>
    <row r="810" spans="1:9" x14ac:dyDescent="0.2">
      <c r="A810" s="14">
        <v>2023</v>
      </c>
      <c r="B810" s="14" t="s">
        <v>185</v>
      </c>
      <c r="C810" s="14" t="s">
        <v>186</v>
      </c>
      <c r="D810" s="15">
        <v>850</v>
      </c>
      <c r="E810" s="15">
        <v>680</v>
      </c>
      <c r="F810" s="15">
        <v>1000</v>
      </c>
      <c r="G810" s="15">
        <v>2800</v>
      </c>
      <c r="H810" s="15">
        <v>2700</v>
      </c>
      <c r="I810" s="15">
        <v>3200</v>
      </c>
    </row>
    <row r="811" spans="1:9" x14ac:dyDescent="0.2">
      <c r="A811" s="14">
        <v>2024</v>
      </c>
      <c r="B811" s="14" t="s">
        <v>185</v>
      </c>
      <c r="C811" s="14" t="s">
        <v>186</v>
      </c>
      <c r="D811" s="15">
        <v>830</v>
      </c>
      <c r="E811" s="15">
        <v>670</v>
      </c>
      <c r="F811" s="15">
        <v>1000</v>
      </c>
      <c r="G811" s="15">
        <v>2700</v>
      </c>
      <c r="H811" s="15">
        <v>2600</v>
      </c>
      <c r="I811" s="15">
        <v>3100</v>
      </c>
    </row>
    <row r="812" spans="1:9" x14ac:dyDescent="0.2">
      <c r="A812" s="14">
        <v>1990</v>
      </c>
      <c r="B812" s="14" t="s">
        <v>187</v>
      </c>
      <c r="C812" s="14" t="s">
        <v>188</v>
      </c>
      <c r="D812" s="15" t="s">
        <v>32</v>
      </c>
      <c r="E812" s="15" t="s">
        <v>31</v>
      </c>
      <c r="F812" s="15">
        <v>680</v>
      </c>
      <c r="G812" s="15">
        <v>3300</v>
      </c>
      <c r="H812" s="15">
        <v>1900</v>
      </c>
      <c r="I812" s="15">
        <v>4800</v>
      </c>
    </row>
    <row r="813" spans="1:9" x14ac:dyDescent="0.2">
      <c r="A813" s="14">
        <v>1991</v>
      </c>
      <c r="B813" s="14" t="s">
        <v>187</v>
      </c>
      <c r="C813" s="14" t="s">
        <v>188</v>
      </c>
      <c r="D813" s="15">
        <v>510</v>
      </c>
      <c r="E813" s="15" t="s">
        <v>32</v>
      </c>
      <c r="F813" s="15">
        <v>880</v>
      </c>
      <c r="G813" s="15">
        <v>3800</v>
      </c>
      <c r="H813" s="15">
        <v>2300</v>
      </c>
      <c r="I813" s="15">
        <v>5500</v>
      </c>
    </row>
    <row r="814" spans="1:9" x14ac:dyDescent="0.2">
      <c r="A814" s="14">
        <v>1992</v>
      </c>
      <c r="B814" s="14" t="s">
        <v>187</v>
      </c>
      <c r="C814" s="14" t="s">
        <v>188</v>
      </c>
      <c r="D814" s="15">
        <v>620</v>
      </c>
      <c r="E814" s="15" t="s">
        <v>32</v>
      </c>
      <c r="F814" s="15">
        <v>1000</v>
      </c>
      <c r="G814" s="15">
        <v>3900</v>
      </c>
      <c r="H814" s="15">
        <v>2600</v>
      </c>
      <c r="I814" s="15">
        <v>5500</v>
      </c>
    </row>
    <row r="815" spans="1:9" x14ac:dyDescent="0.2">
      <c r="A815" s="14">
        <v>1993</v>
      </c>
      <c r="B815" s="14" t="s">
        <v>187</v>
      </c>
      <c r="C815" s="14" t="s">
        <v>188</v>
      </c>
      <c r="D815" s="15">
        <v>750</v>
      </c>
      <c r="E815" s="15" t="s">
        <v>32</v>
      </c>
      <c r="F815" s="15">
        <v>1200</v>
      </c>
      <c r="G815" s="15">
        <v>4400</v>
      </c>
      <c r="H815" s="15">
        <v>3100</v>
      </c>
      <c r="I815" s="15">
        <v>5900</v>
      </c>
    </row>
    <row r="816" spans="1:9" x14ac:dyDescent="0.2">
      <c r="A816" s="14">
        <v>1994</v>
      </c>
      <c r="B816" s="14" t="s">
        <v>187</v>
      </c>
      <c r="C816" s="14" t="s">
        <v>188</v>
      </c>
      <c r="D816" s="15">
        <v>900</v>
      </c>
      <c r="E816" s="15">
        <v>510</v>
      </c>
      <c r="F816" s="15">
        <v>1400</v>
      </c>
      <c r="G816" s="15">
        <v>4600</v>
      </c>
      <c r="H816" s="15">
        <v>3400</v>
      </c>
      <c r="I816" s="15">
        <v>6100</v>
      </c>
    </row>
    <row r="817" spans="1:9" x14ac:dyDescent="0.2">
      <c r="A817" s="14">
        <v>1995</v>
      </c>
      <c r="B817" s="14" t="s">
        <v>187</v>
      </c>
      <c r="C817" s="14" t="s">
        <v>188</v>
      </c>
      <c r="D817" s="15">
        <v>1100</v>
      </c>
      <c r="E817" s="15">
        <v>610</v>
      </c>
      <c r="F817" s="15">
        <v>1600</v>
      </c>
      <c r="G817" s="15">
        <v>4500</v>
      </c>
      <c r="H817" s="15">
        <v>3600</v>
      </c>
      <c r="I817" s="15">
        <v>5900</v>
      </c>
    </row>
    <row r="818" spans="1:9" x14ac:dyDescent="0.2">
      <c r="A818" s="14">
        <v>1996</v>
      </c>
      <c r="B818" s="14" t="s">
        <v>187</v>
      </c>
      <c r="C818" s="14" t="s">
        <v>188</v>
      </c>
      <c r="D818" s="15">
        <v>1200</v>
      </c>
      <c r="E818" s="15">
        <v>720</v>
      </c>
      <c r="F818" s="15">
        <v>1900</v>
      </c>
      <c r="G818" s="15">
        <v>4600</v>
      </c>
      <c r="H818" s="15">
        <v>3700</v>
      </c>
      <c r="I818" s="15">
        <v>5900</v>
      </c>
    </row>
    <row r="819" spans="1:9" x14ac:dyDescent="0.2">
      <c r="A819" s="14">
        <v>1997</v>
      </c>
      <c r="B819" s="14" t="s">
        <v>187</v>
      </c>
      <c r="C819" s="14" t="s">
        <v>188</v>
      </c>
      <c r="D819" s="15">
        <v>1400</v>
      </c>
      <c r="E819" s="15">
        <v>900</v>
      </c>
      <c r="F819" s="15">
        <v>2100</v>
      </c>
      <c r="G819" s="15">
        <v>4700</v>
      </c>
      <c r="H819" s="15">
        <v>3800</v>
      </c>
      <c r="I819" s="15">
        <v>5900</v>
      </c>
    </row>
    <row r="820" spans="1:9" x14ac:dyDescent="0.2">
      <c r="A820" s="14">
        <v>1998</v>
      </c>
      <c r="B820" s="14" t="s">
        <v>187</v>
      </c>
      <c r="C820" s="14" t="s">
        <v>188</v>
      </c>
      <c r="D820" s="15">
        <v>1600</v>
      </c>
      <c r="E820" s="15">
        <v>1100</v>
      </c>
      <c r="F820" s="15">
        <v>2300</v>
      </c>
      <c r="G820" s="15">
        <v>4500</v>
      </c>
      <c r="H820" s="15">
        <v>3700</v>
      </c>
      <c r="I820" s="15">
        <v>5700</v>
      </c>
    </row>
    <row r="821" spans="1:9" x14ac:dyDescent="0.2">
      <c r="A821" s="14">
        <v>1999</v>
      </c>
      <c r="B821" s="14" t="s">
        <v>187</v>
      </c>
      <c r="C821" s="14" t="s">
        <v>188</v>
      </c>
      <c r="D821" s="15">
        <v>1800</v>
      </c>
      <c r="E821" s="15">
        <v>1200</v>
      </c>
      <c r="F821" s="15">
        <v>2500</v>
      </c>
      <c r="G821" s="15">
        <v>4400</v>
      </c>
      <c r="H821" s="15">
        <v>3600</v>
      </c>
      <c r="I821" s="15">
        <v>5600</v>
      </c>
    </row>
    <row r="822" spans="1:9" x14ac:dyDescent="0.2">
      <c r="A822" s="14">
        <v>2000</v>
      </c>
      <c r="B822" s="14" t="s">
        <v>187</v>
      </c>
      <c r="C822" s="14" t="s">
        <v>188</v>
      </c>
      <c r="D822" s="15">
        <v>1900</v>
      </c>
      <c r="E822" s="15">
        <v>1300</v>
      </c>
      <c r="F822" s="15">
        <v>2700</v>
      </c>
      <c r="G822" s="15">
        <v>4200</v>
      </c>
      <c r="H822" s="15">
        <v>3500</v>
      </c>
      <c r="I822" s="15">
        <v>5300</v>
      </c>
    </row>
    <row r="823" spans="1:9" x14ac:dyDescent="0.2">
      <c r="A823" s="14">
        <v>2001</v>
      </c>
      <c r="B823" s="14" t="s">
        <v>187</v>
      </c>
      <c r="C823" s="14" t="s">
        <v>188</v>
      </c>
      <c r="D823" s="15">
        <v>2200</v>
      </c>
      <c r="E823" s="15">
        <v>1600</v>
      </c>
      <c r="F823" s="15">
        <v>3000</v>
      </c>
      <c r="G823" s="15">
        <v>4200</v>
      </c>
      <c r="H823" s="15">
        <v>3500</v>
      </c>
      <c r="I823" s="15">
        <v>5300</v>
      </c>
    </row>
    <row r="824" spans="1:9" x14ac:dyDescent="0.2">
      <c r="A824" s="14">
        <v>2002</v>
      </c>
      <c r="B824" s="14" t="s">
        <v>187</v>
      </c>
      <c r="C824" s="14" t="s">
        <v>188</v>
      </c>
      <c r="D824" s="15">
        <v>2500</v>
      </c>
      <c r="E824" s="15">
        <v>1800</v>
      </c>
      <c r="F824" s="15">
        <v>3300</v>
      </c>
      <c r="G824" s="15">
        <v>4400</v>
      </c>
      <c r="H824" s="15">
        <v>3600</v>
      </c>
      <c r="I824" s="15">
        <v>5500</v>
      </c>
    </row>
    <row r="825" spans="1:9" x14ac:dyDescent="0.2">
      <c r="A825" s="14">
        <v>2003</v>
      </c>
      <c r="B825" s="14" t="s">
        <v>187</v>
      </c>
      <c r="C825" s="14" t="s">
        <v>188</v>
      </c>
      <c r="D825" s="15">
        <v>2700</v>
      </c>
      <c r="E825" s="15">
        <v>2100</v>
      </c>
      <c r="F825" s="15">
        <v>3600</v>
      </c>
      <c r="G825" s="15">
        <v>4400</v>
      </c>
      <c r="H825" s="15">
        <v>3600</v>
      </c>
      <c r="I825" s="15">
        <v>5400</v>
      </c>
    </row>
    <row r="826" spans="1:9" x14ac:dyDescent="0.2">
      <c r="A826" s="14">
        <v>2004</v>
      </c>
      <c r="B826" s="14" t="s">
        <v>187</v>
      </c>
      <c r="C826" s="14" t="s">
        <v>188</v>
      </c>
      <c r="D826" s="15">
        <v>2900</v>
      </c>
      <c r="E826" s="15">
        <v>2300</v>
      </c>
      <c r="F826" s="15">
        <v>3800</v>
      </c>
      <c r="G826" s="15">
        <v>4500</v>
      </c>
      <c r="H826" s="15">
        <v>3700</v>
      </c>
      <c r="I826" s="15">
        <v>5500</v>
      </c>
    </row>
    <row r="827" spans="1:9" x14ac:dyDescent="0.2">
      <c r="A827" s="14">
        <v>2005</v>
      </c>
      <c r="B827" s="14" t="s">
        <v>187</v>
      </c>
      <c r="C827" s="14" t="s">
        <v>188</v>
      </c>
      <c r="D827" s="15">
        <v>3100</v>
      </c>
      <c r="E827" s="15">
        <v>2500</v>
      </c>
      <c r="F827" s="15">
        <v>4000</v>
      </c>
      <c r="G827" s="15">
        <v>4400</v>
      </c>
      <c r="H827" s="15">
        <v>3600</v>
      </c>
      <c r="I827" s="15">
        <v>5400</v>
      </c>
    </row>
    <row r="828" spans="1:9" x14ac:dyDescent="0.2">
      <c r="A828" s="14">
        <v>2006</v>
      </c>
      <c r="B828" s="14" t="s">
        <v>187</v>
      </c>
      <c r="C828" s="14" t="s">
        <v>188</v>
      </c>
      <c r="D828" s="15">
        <v>3100</v>
      </c>
      <c r="E828" s="15">
        <v>2500</v>
      </c>
      <c r="F828" s="15">
        <v>4000</v>
      </c>
      <c r="G828" s="15">
        <v>4400</v>
      </c>
      <c r="H828" s="15">
        <v>3700</v>
      </c>
      <c r="I828" s="15">
        <v>5500</v>
      </c>
    </row>
    <row r="829" spans="1:9" x14ac:dyDescent="0.2">
      <c r="A829" s="14">
        <v>2007</v>
      </c>
      <c r="B829" s="14" t="s">
        <v>187</v>
      </c>
      <c r="C829" s="14" t="s">
        <v>188</v>
      </c>
      <c r="D829" s="15">
        <v>3200</v>
      </c>
      <c r="E829" s="15">
        <v>2600</v>
      </c>
      <c r="F829" s="15">
        <v>4100</v>
      </c>
      <c r="G829" s="15">
        <v>4400</v>
      </c>
      <c r="H829" s="15">
        <v>3700</v>
      </c>
      <c r="I829" s="15">
        <v>5500</v>
      </c>
    </row>
    <row r="830" spans="1:9" x14ac:dyDescent="0.2">
      <c r="A830" s="14">
        <v>2008</v>
      </c>
      <c r="B830" s="14" t="s">
        <v>187</v>
      </c>
      <c r="C830" s="14" t="s">
        <v>188</v>
      </c>
      <c r="D830" s="15">
        <v>3100</v>
      </c>
      <c r="E830" s="15">
        <v>2500</v>
      </c>
      <c r="F830" s="15">
        <v>4000</v>
      </c>
      <c r="G830" s="15">
        <v>4500</v>
      </c>
      <c r="H830" s="15">
        <v>3700</v>
      </c>
      <c r="I830" s="15">
        <v>5500</v>
      </c>
    </row>
    <row r="831" spans="1:9" x14ac:dyDescent="0.2">
      <c r="A831" s="14">
        <v>2009</v>
      </c>
      <c r="B831" s="14" t="s">
        <v>187</v>
      </c>
      <c r="C831" s="14" t="s">
        <v>188</v>
      </c>
      <c r="D831" s="15">
        <v>2900</v>
      </c>
      <c r="E831" s="15">
        <v>2400</v>
      </c>
      <c r="F831" s="15">
        <v>3800</v>
      </c>
      <c r="G831" s="15">
        <v>4400</v>
      </c>
      <c r="H831" s="15">
        <v>3600</v>
      </c>
      <c r="I831" s="15">
        <v>5400</v>
      </c>
    </row>
    <row r="832" spans="1:9" x14ac:dyDescent="0.2">
      <c r="A832" s="14">
        <v>2010</v>
      </c>
      <c r="B832" s="14" t="s">
        <v>187</v>
      </c>
      <c r="C832" s="14" t="s">
        <v>188</v>
      </c>
      <c r="D832" s="15">
        <v>2700</v>
      </c>
      <c r="E832" s="15">
        <v>2200</v>
      </c>
      <c r="F832" s="15">
        <v>3500</v>
      </c>
      <c r="G832" s="15">
        <v>4400</v>
      </c>
      <c r="H832" s="15">
        <v>3600</v>
      </c>
      <c r="I832" s="15">
        <v>5300</v>
      </c>
    </row>
    <row r="833" spans="1:9" x14ac:dyDescent="0.2">
      <c r="A833" s="14">
        <v>2011</v>
      </c>
      <c r="B833" s="14" t="s">
        <v>187</v>
      </c>
      <c r="C833" s="14" t="s">
        <v>188</v>
      </c>
      <c r="D833" s="15">
        <v>2600</v>
      </c>
      <c r="E833" s="15">
        <v>2100</v>
      </c>
      <c r="F833" s="15">
        <v>3400</v>
      </c>
      <c r="G833" s="15">
        <v>4300</v>
      </c>
      <c r="H833" s="15">
        <v>3500</v>
      </c>
      <c r="I833" s="15">
        <v>5300</v>
      </c>
    </row>
    <row r="834" spans="1:9" x14ac:dyDescent="0.2">
      <c r="A834" s="14">
        <v>2012</v>
      </c>
      <c r="B834" s="14" t="s">
        <v>187</v>
      </c>
      <c r="C834" s="14" t="s">
        <v>188</v>
      </c>
      <c r="D834" s="15">
        <v>2600</v>
      </c>
      <c r="E834" s="15">
        <v>2100</v>
      </c>
      <c r="F834" s="15">
        <v>3400</v>
      </c>
      <c r="G834" s="15">
        <v>4300</v>
      </c>
      <c r="H834" s="15">
        <v>3500</v>
      </c>
      <c r="I834" s="15">
        <v>5500</v>
      </c>
    </row>
    <row r="835" spans="1:9" x14ac:dyDescent="0.2">
      <c r="A835" s="14">
        <v>2013</v>
      </c>
      <c r="B835" s="14" t="s">
        <v>187</v>
      </c>
      <c r="C835" s="14" t="s">
        <v>188</v>
      </c>
      <c r="D835" s="15">
        <v>2800</v>
      </c>
      <c r="E835" s="15">
        <v>2300</v>
      </c>
      <c r="F835" s="15">
        <v>3700</v>
      </c>
      <c r="G835" s="15">
        <v>4200</v>
      </c>
      <c r="H835" s="15">
        <v>3400</v>
      </c>
      <c r="I835" s="15">
        <v>5400</v>
      </c>
    </row>
    <row r="836" spans="1:9" x14ac:dyDescent="0.2">
      <c r="A836" s="14">
        <v>2014</v>
      </c>
      <c r="B836" s="14" t="s">
        <v>187</v>
      </c>
      <c r="C836" s="14" t="s">
        <v>188</v>
      </c>
      <c r="D836" s="15">
        <v>2900</v>
      </c>
      <c r="E836" s="15">
        <v>2400</v>
      </c>
      <c r="F836" s="15">
        <v>3800</v>
      </c>
      <c r="G836" s="15">
        <v>4400</v>
      </c>
      <c r="H836" s="15">
        <v>3500</v>
      </c>
      <c r="I836" s="15">
        <v>5600</v>
      </c>
    </row>
    <row r="837" spans="1:9" x14ac:dyDescent="0.2">
      <c r="A837" s="14">
        <v>2015</v>
      </c>
      <c r="B837" s="14" t="s">
        <v>187</v>
      </c>
      <c r="C837" s="14" t="s">
        <v>188</v>
      </c>
      <c r="D837" s="15">
        <v>2800</v>
      </c>
      <c r="E837" s="15">
        <v>2300</v>
      </c>
      <c r="F837" s="15">
        <v>3500</v>
      </c>
      <c r="G837" s="15">
        <v>4500</v>
      </c>
      <c r="H837" s="15">
        <v>3600</v>
      </c>
      <c r="I837" s="15">
        <v>5800</v>
      </c>
    </row>
    <row r="838" spans="1:9" x14ac:dyDescent="0.2">
      <c r="A838" s="14">
        <v>2016</v>
      </c>
      <c r="B838" s="14" t="s">
        <v>187</v>
      </c>
      <c r="C838" s="14" t="s">
        <v>188</v>
      </c>
      <c r="D838" s="15">
        <v>2500</v>
      </c>
      <c r="E838" s="15">
        <v>2000</v>
      </c>
      <c r="F838" s="15">
        <v>3300</v>
      </c>
      <c r="G838" s="15">
        <v>4400</v>
      </c>
      <c r="H838" s="15">
        <v>3400</v>
      </c>
      <c r="I838" s="15">
        <v>5700</v>
      </c>
    </row>
    <row r="839" spans="1:9" x14ac:dyDescent="0.2">
      <c r="A839" s="14">
        <v>2017</v>
      </c>
      <c r="B839" s="14" t="s">
        <v>187</v>
      </c>
      <c r="C839" s="14" t="s">
        <v>188</v>
      </c>
      <c r="D839" s="15">
        <v>2400</v>
      </c>
      <c r="E839" s="15">
        <v>1900</v>
      </c>
      <c r="F839" s="15">
        <v>3100</v>
      </c>
      <c r="G839" s="15">
        <v>4200</v>
      </c>
      <c r="H839" s="15">
        <v>3200</v>
      </c>
      <c r="I839" s="15">
        <v>5800</v>
      </c>
    </row>
    <row r="840" spans="1:9" x14ac:dyDescent="0.2">
      <c r="A840" s="14">
        <v>2018</v>
      </c>
      <c r="B840" s="14" t="s">
        <v>187</v>
      </c>
      <c r="C840" s="14" t="s">
        <v>188</v>
      </c>
      <c r="D840" s="15">
        <v>2200</v>
      </c>
      <c r="E840" s="15">
        <v>1700</v>
      </c>
      <c r="F840" s="15">
        <v>2900</v>
      </c>
      <c r="G840" s="15">
        <v>3900</v>
      </c>
      <c r="H840" s="15">
        <v>2900</v>
      </c>
      <c r="I840" s="15">
        <v>5400</v>
      </c>
    </row>
    <row r="841" spans="1:9" x14ac:dyDescent="0.2">
      <c r="A841" s="14">
        <v>2019</v>
      </c>
      <c r="B841" s="14" t="s">
        <v>187</v>
      </c>
      <c r="C841" s="14" t="s">
        <v>188</v>
      </c>
      <c r="D841" s="15">
        <v>2100</v>
      </c>
      <c r="E841" s="15">
        <v>1600</v>
      </c>
      <c r="F841" s="15">
        <v>2800</v>
      </c>
      <c r="G841" s="15">
        <v>3600</v>
      </c>
      <c r="H841" s="15">
        <v>2600</v>
      </c>
      <c r="I841" s="15">
        <v>5200</v>
      </c>
    </row>
    <row r="842" spans="1:9" x14ac:dyDescent="0.2">
      <c r="A842" s="14">
        <v>2020</v>
      </c>
      <c r="B842" s="14" t="s">
        <v>187</v>
      </c>
      <c r="C842" s="14" t="s">
        <v>188</v>
      </c>
      <c r="D842" s="15">
        <v>2000</v>
      </c>
      <c r="E842" s="15">
        <v>1500</v>
      </c>
      <c r="F842" s="15">
        <v>2700</v>
      </c>
      <c r="G842" s="15">
        <v>3600</v>
      </c>
      <c r="H842" s="15">
        <v>2500</v>
      </c>
      <c r="I842" s="15">
        <v>5200</v>
      </c>
    </row>
    <row r="843" spans="1:9" x14ac:dyDescent="0.2">
      <c r="A843" s="14">
        <v>2021</v>
      </c>
      <c r="B843" s="14" t="s">
        <v>187</v>
      </c>
      <c r="C843" s="14" t="s">
        <v>188</v>
      </c>
      <c r="D843" s="15">
        <v>1800</v>
      </c>
      <c r="E843" s="15">
        <v>1400</v>
      </c>
      <c r="F843" s="15">
        <v>2500</v>
      </c>
      <c r="G843" s="15">
        <v>3100</v>
      </c>
      <c r="H843" s="15">
        <v>2100</v>
      </c>
      <c r="I843" s="15">
        <v>4800</v>
      </c>
    </row>
    <row r="844" spans="1:9" x14ac:dyDescent="0.2">
      <c r="A844" s="14">
        <v>2022</v>
      </c>
      <c r="B844" s="14" t="s">
        <v>187</v>
      </c>
      <c r="C844" s="14" t="s">
        <v>188</v>
      </c>
      <c r="D844" s="15">
        <v>1600</v>
      </c>
      <c r="E844" s="15">
        <v>1200</v>
      </c>
      <c r="F844" s="15">
        <v>2100</v>
      </c>
      <c r="G844" s="15">
        <v>2500</v>
      </c>
      <c r="H844" s="15">
        <v>1500</v>
      </c>
      <c r="I844" s="15">
        <v>4100</v>
      </c>
    </row>
    <row r="845" spans="1:9" x14ac:dyDescent="0.2">
      <c r="A845" s="14">
        <v>2023</v>
      </c>
      <c r="B845" s="14" t="s">
        <v>187</v>
      </c>
      <c r="C845" s="14" t="s">
        <v>188</v>
      </c>
      <c r="D845" s="15">
        <v>1400</v>
      </c>
      <c r="E845" s="15">
        <v>1000</v>
      </c>
      <c r="F845" s="15">
        <v>1900</v>
      </c>
      <c r="G845" s="15">
        <v>2100</v>
      </c>
      <c r="H845" s="15">
        <v>1200</v>
      </c>
      <c r="I845" s="15">
        <v>3700</v>
      </c>
    </row>
    <row r="846" spans="1:9" x14ac:dyDescent="0.2">
      <c r="A846" s="14">
        <v>2024</v>
      </c>
      <c r="B846" s="14" t="s">
        <v>187</v>
      </c>
      <c r="C846" s="14" t="s">
        <v>188</v>
      </c>
      <c r="D846" s="15">
        <v>1300</v>
      </c>
      <c r="E846" s="15">
        <v>930</v>
      </c>
      <c r="F846" s="15">
        <v>1900</v>
      </c>
      <c r="G846" s="15">
        <v>1800</v>
      </c>
      <c r="H846" s="15">
        <v>1000</v>
      </c>
      <c r="I846" s="15">
        <v>3600</v>
      </c>
    </row>
    <row r="847" spans="1:9" x14ac:dyDescent="0.2">
      <c r="A847" s="14">
        <v>1990</v>
      </c>
      <c r="B847" s="14" t="s">
        <v>189</v>
      </c>
      <c r="C847" s="14" t="s">
        <v>190</v>
      </c>
      <c r="D847" s="15" t="s">
        <v>32</v>
      </c>
      <c r="E847" s="15" t="s">
        <v>32</v>
      </c>
      <c r="F847" s="15">
        <v>540</v>
      </c>
      <c r="G847" s="15">
        <v>4300</v>
      </c>
      <c r="H847" s="15">
        <v>3100</v>
      </c>
      <c r="I847" s="15">
        <v>5800</v>
      </c>
    </row>
    <row r="848" spans="1:9" x14ac:dyDescent="0.2">
      <c r="A848" s="14">
        <v>1991</v>
      </c>
      <c r="B848" s="14" t="s">
        <v>189</v>
      </c>
      <c r="C848" s="14" t="s">
        <v>190</v>
      </c>
      <c r="D848" s="15" t="s">
        <v>32</v>
      </c>
      <c r="E848" s="15" t="s">
        <v>32</v>
      </c>
      <c r="F848" s="15">
        <v>740</v>
      </c>
      <c r="G848" s="15">
        <v>5700</v>
      </c>
      <c r="H848" s="15">
        <v>4300</v>
      </c>
      <c r="I848" s="15">
        <v>7300</v>
      </c>
    </row>
    <row r="849" spans="1:9" x14ac:dyDescent="0.2">
      <c r="A849" s="14">
        <v>1992</v>
      </c>
      <c r="B849" s="14" t="s">
        <v>189</v>
      </c>
      <c r="C849" s="14" t="s">
        <v>190</v>
      </c>
      <c r="D849" s="15">
        <v>670</v>
      </c>
      <c r="E849" s="15" t="s">
        <v>32</v>
      </c>
      <c r="F849" s="15">
        <v>970</v>
      </c>
      <c r="G849" s="15">
        <v>7000</v>
      </c>
      <c r="H849" s="15">
        <v>5300</v>
      </c>
      <c r="I849" s="15">
        <v>9000</v>
      </c>
    </row>
    <row r="850" spans="1:9" x14ac:dyDescent="0.2">
      <c r="A850" s="14">
        <v>1993</v>
      </c>
      <c r="B850" s="14" t="s">
        <v>189</v>
      </c>
      <c r="C850" s="14" t="s">
        <v>190</v>
      </c>
      <c r="D850" s="15">
        <v>900</v>
      </c>
      <c r="E850" s="15">
        <v>630</v>
      </c>
      <c r="F850" s="15">
        <v>1300</v>
      </c>
      <c r="G850" s="15">
        <v>8700</v>
      </c>
      <c r="H850" s="15">
        <v>6600</v>
      </c>
      <c r="I850" s="15" t="s">
        <v>24</v>
      </c>
    </row>
    <row r="851" spans="1:9" x14ac:dyDescent="0.2">
      <c r="A851" s="14">
        <v>1994</v>
      </c>
      <c r="B851" s="14" t="s">
        <v>189</v>
      </c>
      <c r="C851" s="14" t="s">
        <v>190</v>
      </c>
      <c r="D851" s="15">
        <v>1100</v>
      </c>
      <c r="E851" s="15">
        <v>790</v>
      </c>
      <c r="F851" s="15">
        <v>1500</v>
      </c>
      <c r="G851" s="15">
        <v>9100</v>
      </c>
      <c r="H851" s="15">
        <v>7000</v>
      </c>
      <c r="I851" s="15" t="s">
        <v>15</v>
      </c>
    </row>
    <row r="852" spans="1:9" x14ac:dyDescent="0.2">
      <c r="A852" s="14">
        <v>1995</v>
      </c>
      <c r="B852" s="14" t="s">
        <v>189</v>
      </c>
      <c r="C852" s="14" t="s">
        <v>190</v>
      </c>
      <c r="D852" s="15">
        <v>1500</v>
      </c>
      <c r="E852" s="15">
        <v>1100</v>
      </c>
      <c r="F852" s="15">
        <v>2000</v>
      </c>
      <c r="G852" s="15" t="s">
        <v>24</v>
      </c>
      <c r="H852" s="15">
        <v>8400</v>
      </c>
      <c r="I852" s="15" t="s">
        <v>17</v>
      </c>
    </row>
    <row r="853" spans="1:9" x14ac:dyDescent="0.2">
      <c r="A853" s="14">
        <v>1996</v>
      </c>
      <c r="B853" s="14" t="s">
        <v>189</v>
      </c>
      <c r="C853" s="14" t="s">
        <v>190</v>
      </c>
      <c r="D853" s="15">
        <v>1900</v>
      </c>
      <c r="E853" s="15">
        <v>1400</v>
      </c>
      <c r="F853" s="15">
        <v>2600</v>
      </c>
      <c r="G853" s="15" t="s">
        <v>24</v>
      </c>
      <c r="H853" s="15">
        <v>8900</v>
      </c>
      <c r="I853" s="15" t="s">
        <v>60</v>
      </c>
    </row>
    <row r="854" spans="1:9" x14ac:dyDescent="0.2">
      <c r="A854" s="14">
        <v>1997</v>
      </c>
      <c r="B854" s="14" t="s">
        <v>189</v>
      </c>
      <c r="C854" s="14" t="s">
        <v>190</v>
      </c>
      <c r="D854" s="15">
        <v>2400</v>
      </c>
      <c r="E854" s="15">
        <v>1800</v>
      </c>
      <c r="F854" s="15">
        <v>3300</v>
      </c>
      <c r="G854" s="15" t="s">
        <v>15</v>
      </c>
      <c r="H854" s="15">
        <v>8900</v>
      </c>
      <c r="I854" s="15" t="s">
        <v>62</v>
      </c>
    </row>
    <row r="855" spans="1:9" x14ac:dyDescent="0.2">
      <c r="A855" s="14">
        <v>1998</v>
      </c>
      <c r="B855" s="14" t="s">
        <v>189</v>
      </c>
      <c r="C855" s="14" t="s">
        <v>190</v>
      </c>
      <c r="D855" s="15">
        <v>3000</v>
      </c>
      <c r="E855" s="15">
        <v>2300</v>
      </c>
      <c r="F855" s="15">
        <v>4000</v>
      </c>
      <c r="G855" s="15" t="s">
        <v>24</v>
      </c>
      <c r="H855" s="15">
        <v>8200</v>
      </c>
      <c r="I855" s="15" t="s">
        <v>17</v>
      </c>
    </row>
    <row r="856" spans="1:9" x14ac:dyDescent="0.2">
      <c r="A856" s="14">
        <v>1999</v>
      </c>
      <c r="B856" s="14" t="s">
        <v>189</v>
      </c>
      <c r="C856" s="14" t="s">
        <v>190</v>
      </c>
      <c r="D856" s="15">
        <v>3500</v>
      </c>
      <c r="E856" s="15">
        <v>2800</v>
      </c>
      <c r="F856" s="15">
        <v>4700</v>
      </c>
      <c r="G856" s="15">
        <v>9600</v>
      </c>
      <c r="H856" s="15">
        <v>7600</v>
      </c>
      <c r="I856" s="15" t="s">
        <v>23</v>
      </c>
    </row>
    <row r="857" spans="1:9" x14ac:dyDescent="0.2">
      <c r="A857" s="14">
        <v>2000</v>
      </c>
      <c r="B857" s="14" t="s">
        <v>189</v>
      </c>
      <c r="C857" s="14" t="s">
        <v>190</v>
      </c>
      <c r="D857" s="15">
        <v>4100</v>
      </c>
      <c r="E857" s="15">
        <v>3200</v>
      </c>
      <c r="F857" s="15">
        <v>5400</v>
      </c>
      <c r="G857" s="15">
        <v>8800</v>
      </c>
      <c r="H857" s="15">
        <v>7000</v>
      </c>
      <c r="I857" s="15" t="s">
        <v>24</v>
      </c>
    </row>
    <row r="858" spans="1:9" x14ac:dyDescent="0.2">
      <c r="A858" s="14">
        <v>2001</v>
      </c>
      <c r="B858" s="14" t="s">
        <v>189</v>
      </c>
      <c r="C858" s="14" t="s">
        <v>190</v>
      </c>
      <c r="D858" s="15">
        <v>4700</v>
      </c>
      <c r="E858" s="15">
        <v>3700</v>
      </c>
      <c r="F858" s="15">
        <v>6100</v>
      </c>
      <c r="G858" s="15">
        <v>7700</v>
      </c>
      <c r="H858" s="15">
        <v>6000</v>
      </c>
      <c r="I858" s="15">
        <v>9800</v>
      </c>
    </row>
    <row r="859" spans="1:9" x14ac:dyDescent="0.2">
      <c r="A859" s="14">
        <v>2002</v>
      </c>
      <c r="B859" s="14" t="s">
        <v>189</v>
      </c>
      <c r="C859" s="14" t="s">
        <v>190</v>
      </c>
      <c r="D859" s="15">
        <v>5200</v>
      </c>
      <c r="E859" s="15">
        <v>4200</v>
      </c>
      <c r="F859" s="15">
        <v>6700</v>
      </c>
      <c r="G859" s="15">
        <v>6800</v>
      </c>
      <c r="H859" s="15">
        <v>5300</v>
      </c>
      <c r="I859" s="15">
        <v>8400</v>
      </c>
    </row>
    <row r="860" spans="1:9" x14ac:dyDescent="0.2">
      <c r="A860" s="14">
        <v>2003</v>
      </c>
      <c r="B860" s="14" t="s">
        <v>189</v>
      </c>
      <c r="C860" s="14" t="s">
        <v>190</v>
      </c>
      <c r="D860" s="15">
        <v>5500</v>
      </c>
      <c r="E860" s="15">
        <v>4400</v>
      </c>
      <c r="F860" s="15">
        <v>7100</v>
      </c>
      <c r="G860" s="15">
        <v>6200</v>
      </c>
      <c r="H860" s="15">
        <v>4900</v>
      </c>
      <c r="I860" s="15">
        <v>7800</v>
      </c>
    </row>
    <row r="861" spans="1:9" x14ac:dyDescent="0.2">
      <c r="A861" s="14">
        <v>2004</v>
      </c>
      <c r="B861" s="14" t="s">
        <v>189</v>
      </c>
      <c r="C861" s="14" t="s">
        <v>190</v>
      </c>
      <c r="D861" s="15">
        <v>5600</v>
      </c>
      <c r="E861" s="15">
        <v>4500</v>
      </c>
      <c r="F861" s="15">
        <v>7300</v>
      </c>
      <c r="G861" s="15">
        <v>5800</v>
      </c>
      <c r="H861" s="15">
        <v>4500</v>
      </c>
      <c r="I861" s="15">
        <v>7400</v>
      </c>
    </row>
    <row r="862" spans="1:9" x14ac:dyDescent="0.2">
      <c r="A862" s="14">
        <v>2005</v>
      </c>
      <c r="B862" s="14" t="s">
        <v>189</v>
      </c>
      <c r="C862" s="14" t="s">
        <v>190</v>
      </c>
      <c r="D862" s="15">
        <v>5400</v>
      </c>
      <c r="E862" s="15">
        <v>4200</v>
      </c>
      <c r="F862" s="15">
        <v>7100</v>
      </c>
      <c r="G862" s="15">
        <v>5400</v>
      </c>
      <c r="H862" s="15">
        <v>4200</v>
      </c>
      <c r="I862" s="15">
        <v>7000</v>
      </c>
    </row>
    <row r="863" spans="1:9" x14ac:dyDescent="0.2">
      <c r="A863" s="14">
        <v>2006</v>
      </c>
      <c r="B863" s="14" t="s">
        <v>189</v>
      </c>
      <c r="C863" s="14" t="s">
        <v>190</v>
      </c>
      <c r="D863" s="15">
        <v>5100</v>
      </c>
      <c r="E863" s="15">
        <v>4000</v>
      </c>
      <c r="F863" s="15">
        <v>6900</v>
      </c>
      <c r="G863" s="15">
        <v>4900</v>
      </c>
      <c r="H863" s="15">
        <v>3800</v>
      </c>
      <c r="I863" s="15">
        <v>6300</v>
      </c>
    </row>
    <row r="864" spans="1:9" x14ac:dyDescent="0.2">
      <c r="A864" s="14">
        <v>2007</v>
      </c>
      <c r="B864" s="14" t="s">
        <v>189</v>
      </c>
      <c r="C864" s="14" t="s">
        <v>190</v>
      </c>
      <c r="D864" s="15">
        <v>5400</v>
      </c>
      <c r="E864" s="15">
        <v>4200</v>
      </c>
      <c r="F864" s="15">
        <v>7100</v>
      </c>
      <c r="G864" s="15">
        <v>4900</v>
      </c>
      <c r="H864" s="15">
        <v>3800</v>
      </c>
      <c r="I864" s="15">
        <v>6500</v>
      </c>
    </row>
    <row r="865" spans="1:9" x14ac:dyDescent="0.2">
      <c r="A865" s="14">
        <v>2008</v>
      </c>
      <c r="B865" s="14" t="s">
        <v>189</v>
      </c>
      <c r="C865" s="14" t="s">
        <v>190</v>
      </c>
      <c r="D865" s="15">
        <v>5300</v>
      </c>
      <c r="E865" s="15">
        <v>4100</v>
      </c>
      <c r="F865" s="15">
        <v>7000</v>
      </c>
      <c r="G865" s="15">
        <v>4800</v>
      </c>
      <c r="H865" s="15">
        <v>3700</v>
      </c>
      <c r="I865" s="15">
        <v>6300</v>
      </c>
    </row>
    <row r="866" spans="1:9" x14ac:dyDescent="0.2">
      <c r="A866" s="14">
        <v>2009</v>
      </c>
      <c r="B866" s="14" t="s">
        <v>189</v>
      </c>
      <c r="C866" s="14" t="s">
        <v>190</v>
      </c>
      <c r="D866" s="15">
        <v>4800</v>
      </c>
      <c r="E866" s="15">
        <v>3600</v>
      </c>
      <c r="F866" s="15">
        <v>6400</v>
      </c>
      <c r="G866" s="15">
        <v>4600</v>
      </c>
      <c r="H866" s="15">
        <v>3500</v>
      </c>
      <c r="I866" s="15">
        <v>6100</v>
      </c>
    </row>
    <row r="867" spans="1:9" x14ac:dyDescent="0.2">
      <c r="A867" s="14">
        <v>2010</v>
      </c>
      <c r="B867" s="14" t="s">
        <v>189</v>
      </c>
      <c r="C867" s="14" t="s">
        <v>190</v>
      </c>
      <c r="D867" s="15">
        <v>4000</v>
      </c>
      <c r="E867" s="15">
        <v>2900</v>
      </c>
      <c r="F867" s="15">
        <v>5400</v>
      </c>
      <c r="G867" s="15">
        <v>4400</v>
      </c>
      <c r="H867" s="15">
        <v>3400</v>
      </c>
      <c r="I867" s="15">
        <v>6000</v>
      </c>
    </row>
    <row r="868" spans="1:9" x14ac:dyDescent="0.2">
      <c r="A868" s="14">
        <v>2011</v>
      </c>
      <c r="B868" s="14" t="s">
        <v>189</v>
      </c>
      <c r="C868" s="14" t="s">
        <v>190</v>
      </c>
      <c r="D868" s="15">
        <v>3400</v>
      </c>
      <c r="E868" s="15">
        <v>2400</v>
      </c>
      <c r="F868" s="15">
        <v>4700</v>
      </c>
      <c r="G868" s="15">
        <v>3800</v>
      </c>
      <c r="H868" s="15">
        <v>2800</v>
      </c>
      <c r="I868" s="15">
        <v>5300</v>
      </c>
    </row>
    <row r="869" spans="1:9" x14ac:dyDescent="0.2">
      <c r="A869" s="14">
        <v>2012</v>
      </c>
      <c r="B869" s="14" t="s">
        <v>189</v>
      </c>
      <c r="C869" s="14" t="s">
        <v>190</v>
      </c>
      <c r="D869" s="15">
        <v>3100</v>
      </c>
      <c r="E869" s="15">
        <v>2200</v>
      </c>
      <c r="F869" s="15">
        <v>4400</v>
      </c>
      <c r="G869" s="15">
        <v>3400</v>
      </c>
      <c r="H869" s="15">
        <v>2400</v>
      </c>
      <c r="I869" s="15">
        <v>4800</v>
      </c>
    </row>
    <row r="870" spans="1:9" x14ac:dyDescent="0.2">
      <c r="A870" s="14">
        <v>2013</v>
      </c>
      <c r="B870" s="14" t="s">
        <v>189</v>
      </c>
      <c r="C870" s="14" t="s">
        <v>190</v>
      </c>
      <c r="D870" s="15">
        <v>3100</v>
      </c>
      <c r="E870" s="15">
        <v>2200</v>
      </c>
      <c r="F870" s="15">
        <v>4500</v>
      </c>
      <c r="G870" s="15">
        <v>3200</v>
      </c>
      <c r="H870" s="15">
        <v>2100</v>
      </c>
      <c r="I870" s="15">
        <v>4800</v>
      </c>
    </row>
    <row r="871" spans="1:9" x14ac:dyDescent="0.2">
      <c r="A871" s="14">
        <v>2014</v>
      </c>
      <c r="B871" s="14" t="s">
        <v>189</v>
      </c>
      <c r="C871" s="14" t="s">
        <v>190</v>
      </c>
      <c r="D871" s="15">
        <v>3300</v>
      </c>
      <c r="E871" s="15">
        <v>2300</v>
      </c>
      <c r="F871" s="15">
        <v>4600</v>
      </c>
      <c r="G871" s="15">
        <v>3200</v>
      </c>
      <c r="H871" s="15">
        <v>2200</v>
      </c>
      <c r="I871" s="15">
        <v>4700</v>
      </c>
    </row>
    <row r="872" spans="1:9" x14ac:dyDescent="0.2">
      <c r="A872" s="14">
        <v>2015</v>
      </c>
      <c r="B872" s="14" t="s">
        <v>189</v>
      </c>
      <c r="C872" s="14" t="s">
        <v>190</v>
      </c>
      <c r="D872" s="15">
        <v>3100</v>
      </c>
      <c r="E872" s="15">
        <v>2200</v>
      </c>
      <c r="F872" s="15">
        <v>4300</v>
      </c>
      <c r="G872" s="15">
        <v>3000</v>
      </c>
      <c r="H872" s="15">
        <v>2100</v>
      </c>
      <c r="I872" s="15">
        <v>4200</v>
      </c>
    </row>
    <row r="873" spans="1:9" x14ac:dyDescent="0.2">
      <c r="A873" s="14">
        <v>2016</v>
      </c>
      <c r="B873" s="14" t="s">
        <v>189</v>
      </c>
      <c r="C873" s="14" t="s">
        <v>190</v>
      </c>
      <c r="D873" s="15">
        <v>2800</v>
      </c>
      <c r="E873" s="15">
        <v>2100</v>
      </c>
      <c r="F873" s="15">
        <v>3900</v>
      </c>
      <c r="G873" s="15">
        <v>2900</v>
      </c>
      <c r="H873" s="15">
        <v>2000</v>
      </c>
      <c r="I873" s="15">
        <v>4100</v>
      </c>
    </row>
    <row r="874" spans="1:9" x14ac:dyDescent="0.2">
      <c r="A874" s="14">
        <v>2017</v>
      </c>
      <c r="B874" s="14" t="s">
        <v>189</v>
      </c>
      <c r="C874" s="14" t="s">
        <v>190</v>
      </c>
      <c r="D874" s="15">
        <v>2600</v>
      </c>
      <c r="E874" s="15">
        <v>2000</v>
      </c>
      <c r="F874" s="15">
        <v>3600</v>
      </c>
      <c r="G874" s="15">
        <v>3100</v>
      </c>
      <c r="H874" s="15">
        <v>2200</v>
      </c>
      <c r="I874" s="15">
        <v>4300</v>
      </c>
    </row>
    <row r="875" spans="1:9" x14ac:dyDescent="0.2">
      <c r="A875" s="14">
        <v>2018</v>
      </c>
      <c r="B875" s="14" t="s">
        <v>189</v>
      </c>
      <c r="C875" s="14" t="s">
        <v>190</v>
      </c>
      <c r="D875" s="15">
        <v>2300</v>
      </c>
      <c r="E875" s="15">
        <v>1700</v>
      </c>
      <c r="F875" s="15">
        <v>3200</v>
      </c>
      <c r="G875" s="15">
        <v>2700</v>
      </c>
      <c r="H875" s="15">
        <v>1900</v>
      </c>
      <c r="I875" s="15">
        <v>3900</v>
      </c>
    </row>
    <row r="876" spans="1:9" x14ac:dyDescent="0.2">
      <c r="A876" s="14">
        <v>2019</v>
      </c>
      <c r="B876" s="14" t="s">
        <v>189</v>
      </c>
      <c r="C876" s="14" t="s">
        <v>190</v>
      </c>
      <c r="D876" s="15">
        <v>2000</v>
      </c>
      <c r="E876" s="15">
        <v>1500</v>
      </c>
      <c r="F876" s="15">
        <v>2800</v>
      </c>
      <c r="G876" s="15">
        <v>2700</v>
      </c>
      <c r="H876" s="15">
        <v>1800</v>
      </c>
      <c r="I876" s="15">
        <v>3900</v>
      </c>
    </row>
    <row r="877" spans="1:9" x14ac:dyDescent="0.2">
      <c r="A877" s="14">
        <v>2020</v>
      </c>
      <c r="B877" s="14" t="s">
        <v>189</v>
      </c>
      <c r="C877" s="14" t="s">
        <v>190</v>
      </c>
      <c r="D877" s="15">
        <v>1800</v>
      </c>
      <c r="E877" s="15">
        <v>1300</v>
      </c>
      <c r="F877" s="15">
        <v>2500</v>
      </c>
      <c r="G877" s="15">
        <v>2500</v>
      </c>
      <c r="H877" s="15">
        <v>1500</v>
      </c>
      <c r="I877" s="15">
        <v>3800</v>
      </c>
    </row>
    <row r="878" spans="1:9" x14ac:dyDescent="0.2">
      <c r="A878" s="14">
        <v>2021</v>
      </c>
      <c r="B878" s="14" t="s">
        <v>189</v>
      </c>
      <c r="C878" s="14" t="s">
        <v>190</v>
      </c>
      <c r="D878" s="15">
        <v>1600</v>
      </c>
      <c r="E878" s="15">
        <v>1200</v>
      </c>
      <c r="F878" s="15">
        <v>2200</v>
      </c>
      <c r="G878" s="15">
        <v>2500</v>
      </c>
      <c r="H878" s="15">
        <v>1500</v>
      </c>
      <c r="I878" s="15">
        <v>3900</v>
      </c>
    </row>
    <row r="879" spans="1:9" x14ac:dyDescent="0.2">
      <c r="A879" s="14">
        <v>2022</v>
      </c>
      <c r="B879" s="14" t="s">
        <v>189</v>
      </c>
      <c r="C879" s="14" t="s">
        <v>190</v>
      </c>
      <c r="D879" s="15">
        <v>1500</v>
      </c>
      <c r="E879" s="15">
        <v>1100</v>
      </c>
      <c r="F879" s="15">
        <v>2100</v>
      </c>
      <c r="G879" s="15">
        <v>2500</v>
      </c>
      <c r="H879" s="15">
        <v>1500</v>
      </c>
      <c r="I879" s="15">
        <v>4000</v>
      </c>
    </row>
    <row r="880" spans="1:9" x14ac:dyDescent="0.2">
      <c r="A880" s="14">
        <v>2023</v>
      </c>
      <c r="B880" s="14" t="s">
        <v>189</v>
      </c>
      <c r="C880" s="14" t="s">
        <v>190</v>
      </c>
      <c r="D880" s="15">
        <v>1500</v>
      </c>
      <c r="E880" s="15">
        <v>1100</v>
      </c>
      <c r="F880" s="15">
        <v>2100</v>
      </c>
      <c r="G880" s="15">
        <v>2600</v>
      </c>
      <c r="H880" s="15">
        <v>1500</v>
      </c>
      <c r="I880" s="15">
        <v>4000</v>
      </c>
    </row>
    <row r="881" spans="1:9" x14ac:dyDescent="0.2">
      <c r="A881" s="14">
        <v>2024</v>
      </c>
      <c r="B881" s="14" t="s">
        <v>189</v>
      </c>
      <c r="C881" s="14" t="s">
        <v>190</v>
      </c>
      <c r="D881" s="15">
        <v>1500</v>
      </c>
      <c r="E881" s="15">
        <v>1100</v>
      </c>
      <c r="F881" s="15">
        <v>2000</v>
      </c>
      <c r="G881" s="15">
        <v>2600</v>
      </c>
      <c r="H881" s="15">
        <v>1500</v>
      </c>
      <c r="I881" s="15">
        <v>4000</v>
      </c>
    </row>
    <row r="882" spans="1:9" x14ac:dyDescent="0.2">
      <c r="A882" s="14">
        <v>1990</v>
      </c>
      <c r="B882" s="14" t="s">
        <v>191</v>
      </c>
      <c r="C882" s="14" t="s">
        <v>192</v>
      </c>
      <c r="D882" s="15" t="s">
        <v>33</v>
      </c>
      <c r="E882" s="15" t="s">
        <v>33</v>
      </c>
      <c r="F882" s="15" t="s">
        <v>33</v>
      </c>
      <c r="G882" s="15" t="s">
        <v>33</v>
      </c>
      <c r="H882" s="15" t="s">
        <v>33</v>
      </c>
      <c r="I882" s="15" t="s">
        <v>33</v>
      </c>
    </row>
    <row r="883" spans="1:9" x14ac:dyDescent="0.2">
      <c r="A883" s="14">
        <v>1991</v>
      </c>
      <c r="B883" s="14" t="s">
        <v>191</v>
      </c>
      <c r="C883" s="14" t="s">
        <v>192</v>
      </c>
      <c r="D883" s="15" t="s">
        <v>33</v>
      </c>
      <c r="E883" s="15" t="s">
        <v>33</v>
      </c>
      <c r="F883" s="15" t="s">
        <v>33</v>
      </c>
      <c r="G883" s="15" t="s">
        <v>33</v>
      </c>
      <c r="H883" s="15" t="s">
        <v>33</v>
      </c>
      <c r="I883" s="15" t="s">
        <v>33</v>
      </c>
    </row>
    <row r="884" spans="1:9" x14ac:dyDescent="0.2">
      <c r="A884" s="14">
        <v>1992</v>
      </c>
      <c r="B884" s="14" t="s">
        <v>191</v>
      </c>
      <c r="C884" s="14" t="s">
        <v>192</v>
      </c>
      <c r="D884" s="15" t="s">
        <v>33</v>
      </c>
      <c r="E884" s="15" t="s">
        <v>33</v>
      </c>
      <c r="F884" s="15" t="s">
        <v>33</v>
      </c>
      <c r="G884" s="15" t="s">
        <v>33</v>
      </c>
      <c r="H884" s="15" t="s">
        <v>33</v>
      </c>
      <c r="I884" s="15" t="s">
        <v>33</v>
      </c>
    </row>
    <row r="885" spans="1:9" x14ac:dyDescent="0.2">
      <c r="A885" s="14">
        <v>1993</v>
      </c>
      <c r="B885" s="14" t="s">
        <v>191</v>
      </c>
      <c r="C885" s="14" t="s">
        <v>192</v>
      </c>
      <c r="D885" s="15" t="s">
        <v>33</v>
      </c>
      <c r="E885" s="15" t="s">
        <v>33</v>
      </c>
      <c r="F885" s="15" t="s">
        <v>33</v>
      </c>
      <c r="G885" s="15" t="s">
        <v>33</v>
      </c>
      <c r="H885" s="15" t="s">
        <v>33</v>
      </c>
      <c r="I885" s="15" t="s">
        <v>33</v>
      </c>
    </row>
    <row r="886" spans="1:9" x14ac:dyDescent="0.2">
      <c r="A886" s="14">
        <v>1994</v>
      </c>
      <c r="B886" s="14" t="s">
        <v>191</v>
      </c>
      <c r="C886" s="14" t="s">
        <v>192</v>
      </c>
      <c r="D886" s="15" t="s">
        <v>33</v>
      </c>
      <c r="E886" s="15" t="s">
        <v>33</v>
      </c>
      <c r="F886" s="15" t="s">
        <v>33</v>
      </c>
      <c r="G886" s="15" t="s">
        <v>33</v>
      </c>
      <c r="H886" s="15" t="s">
        <v>33</v>
      </c>
      <c r="I886" s="15" t="s">
        <v>33</v>
      </c>
    </row>
    <row r="887" spans="1:9" x14ac:dyDescent="0.2">
      <c r="A887" s="14">
        <v>1995</v>
      </c>
      <c r="B887" s="14" t="s">
        <v>191</v>
      </c>
      <c r="C887" s="14" t="s">
        <v>192</v>
      </c>
      <c r="D887" s="15" t="s">
        <v>33</v>
      </c>
      <c r="E887" s="15" t="s">
        <v>33</v>
      </c>
      <c r="F887" s="15" t="s">
        <v>33</v>
      </c>
      <c r="G887" s="15" t="s">
        <v>33</v>
      </c>
      <c r="H887" s="15" t="s">
        <v>33</v>
      </c>
      <c r="I887" s="15" t="s">
        <v>33</v>
      </c>
    </row>
    <row r="888" spans="1:9" x14ac:dyDescent="0.2">
      <c r="A888" s="14">
        <v>1996</v>
      </c>
      <c r="B888" s="14" t="s">
        <v>191</v>
      </c>
      <c r="C888" s="14" t="s">
        <v>192</v>
      </c>
      <c r="D888" s="15" t="s">
        <v>33</v>
      </c>
      <c r="E888" s="15" t="s">
        <v>33</v>
      </c>
      <c r="F888" s="15" t="s">
        <v>33</v>
      </c>
      <c r="G888" s="15" t="s">
        <v>33</v>
      </c>
      <c r="H888" s="15" t="s">
        <v>33</v>
      </c>
      <c r="I888" s="15" t="s">
        <v>33</v>
      </c>
    </row>
    <row r="889" spans="1:9" x14ac:dyDescent="0.2">
      <c r="A889" s="14">
        <v>1997</v>
      </c>
      <c r="B889" s="14" t="s">
        <v>191</v>
      </c>
      <c r="C889" s="14" t="s">
        <v>192</v>
      </c>
      <c r="D889" s="15" t="s">
        <v>33</v>
      </c>
      <c r="E889" s="15" t="s">
        <v>33</v>
      </c>
      <c r="F889" s="15" t="s">
        <v>33</v>
      </c>
      <c r="G889" s="15" t="s">
        <v>33</v>
      </c>
      <c r="H889" s="15" t="s">
        <v>33</v>
      </c>
      <c r="I889" s="15" t="s">
        <v>33</v>
      </c>
    </row>
    <row r="890" spans="1:9" x14ac:dyDescent="0.2">
      <c r="A890" s="14">
        <v>1998</v>
      </c>
      <c r="B890" s="14" t="s">
        <v>191</v>
      </c>
      <c r="C890" s="14" t="s">
        <v>192</v>
      </c>
      <c r="D890" s="15" t="s">
        <v>33</v>
      </c>
      <c r="E890" s="15" t="s">
        <v>33</v>
      </c>
      <c r="F890" s="15" t="s">
        <v>33</v>
      </c>
      <c r="G890" s="15" t="s">
        <v>33</v>
      </c>
      <c r="H890" s="15" t="s">
        <v>33</v>
      </c>
      <c r="I890" s="15" t="s">
        <v>33</v>
      </c>
    </row>
    <row r="891" spans="1:9" x14ac:dyDescent="0.2">
      <c r="A891" s="14">
        <v>1999</v>
      </c>
      <c r="B891" s="14" t="s">
        <v>191</v>
      </c>
      <c r="C891" s="14" t="s">
        <v>192</v>
      </c>
      <c r="D891" s="15" t="s">
        <v>33</v>
      </c>
      <c r="E891" s="15" t="s">
        <v>33</v>
      </c>
      <c r="F891" s="15" t="s">
        <v>33</v>
      </c>
      <c r="G891" s="15" t="s">
        <v>33</v>
      </c>
      <c r="H891" s="15" t="s">
        <v>33</v>
      </c>
      <c r="I891" s="15" t="s">
        <v>33</v>
      </c>
    </row>
    <row r="892" spans="1:9" x14ac:dyDescent="0.2">
      <c r="A892" s="14">
        <v>2000</v>
      </c>
      <c r="B892" s="14" t="s">
        <v>191</v>
      </c>
      <c r="C892" s="14" t="s">
        <v>192</v>
      </c>
      <c r="D892" s="15" t="s">
        <v>33</v>
      </c>
      <c r="E892" s="15" t="s">
        <v>33</v>
      </c>
      <c r="F892" s="15" t="s">
        <v>33</v>
      </c>
      <c r="G892" s="15" t="s">
        <v>33</v>
      </c>
      <c r="H892" s="15" t="s">
        <v>33</v>
      </c>
      <c r="I892" s="15" t="s">
        <v>33</v>
      </c>
    </row>
    <row r="893" spans="1:9" x14ac:dyDescent="0.2">
      <c r="A893" s="14">
        <v>2001</v>
      </c>
      <c r="B893" s="14" t="s">
        <v>191</v>
      </c>
      <c r="C893" s="14" t="s">
        <v>192</v>
      </c>
      <c r="D893" s="15" t="s">
        <v>33</v>
      </c>
      <c r="E893" s="15" t="s">
        <v>33</v>
      </c>
      <c r="F893" s="15" t="s">
        <v>33</v>
      </c>
      <c r="G893" s="15" t="s">
        <v>33</v>
      </c>
      <c r="H893" s="15" t="s">
        <v>33</v>
      </c>
      <c r="I893" s="15" t="s">
        <v>33</v>
      </c>
    </row>
    <row r="894" spans="1:9" x14ac:dyDescent="0.2">
      <c r="A894" s="14">
        <v>2002</v>
      </c>
      <c r="B894" s="14" t="s">
        <v>191</v>
      </c>
      <c r="C894" s="14" t="s">
        <v>192</v>
      </c>
      <c r="D894" s="15" t="s">
        <v>33</v>
      </c>
      <c r="E894" s="15" t="s">
        <v>33</v>
      </c>
      <c r="F894" s="15" t="s">
        <v>33</v>
      </c>
      <c r="G894" s="15" t="s">
        <v>33</v>
      </c>
      <c r="H894" s="15" t="s">
        <v>33</v>
      </c>
      <c r="I894" s="15" t="s">
        <v>33</v>
      </c>
    </row>
    <row r="895" spans="1:9" x14ac:dyDescent="0.2">
      <c r="A895" s="14">
        <v>2003</v>
      </c>
      <c r="B895" s="14" t="s">
        <v>191</v>
      </c>
      <c r="C895" s="14" t="s">
        <v>192</v>
      </c>
      <c r="D895" s="15" t="s">
        <v>33</v>
      </c>
      <c r="E895" s="15" t="s">
        <v>33</v>
      </c>
      <c r="F895" s="15" t="s">
        <v>33</v>
      </c>
      <c r="G895" s="15" t="s">
        <v>33</v>
      </c>
      <c r="H895" s="15" t="s">
        <v>33</v>
      </c>
      <c r="I895" s="15" t="s">
        <v>33</v>
      </c>
    </row>
    <row r="896" spans="1:9" x14ac:dyDescent="0.2">
      <c r="A896" s="14">
        <v>2004</v>
      </c>
      <c r="B896" s="14" t="s">
        <v>191</v>
      </c>
      <c r="C896" s="14" t="s">
        <v>192</v>
      </c>
      <c r="D896" s="15" t="s">
        <v>33</v>
      </c>
      <c r="E896" s="15" t="s">
        <v>33</v>
      </c>
      <c r="F896" s="15" t="s">
        <v>33</v>
      </c>
      <c r="G896" s="15" t="s">
        <v>33</v>
      </c>
      <c r="H896" s="15" t="s">
        <v>33</v>
      </c>
      <c r="I896" s="15" t="s">
        <v>33</v>
      </c>
    </row>
    <row r="897" spans="1:9" x14ac:dyDescent="0.2">
      <c r="A897" s="14">
        <v>2005</v>
      </c>
      <c r="B897" s="14" t="s">
        <v>191</v>
      </c>
      <c r="C897" s="14" t="s">
        <v>192</v>
      </c>
      <c r="D897" s="15" t="s">
        <v>33</v>
      </c>
      <c r="E897" s="15" t="s">
        <v>33</v>
      </c>
      <c r="F897" s="15" t="s">
        <v>33</v>
      </c>
      <c r="G897" s="15" t="s">
        <v>33</v>
      </c>
      <c r="H897" s="15" t="s">
        <v>33</v>
      </c>
      <c r="I897" s="15" t="s">
        <v>33</v>
      </c>
    </row>
    <row r="898" spans="1:9" x14ac:dyDescent="0.2">
      <c r="A898" s="14">
        <v>2006</v>
      </c>
      <c r="B898" s="14" t="s">
        <v>191</v>
      </c>
      <c r="C898" s="14" t="s">
        <v>192</v>
      </c>
      <c r="D898" s="15" t="s">
        <v>33</v>
      </c>
      <c r="E898" s="15" t="s">
        <v>33</v>
      </c>
      <c r="F898" s="15" t="s">
        <v>33</v>
      </c>
      <c r="G898" s="15" t="s">
        <v>33</v>
      </c>
      <c r="H898" s="15" t="s">
        <v>33</v>
      </c>
      <c r="I898" s="15" t="s">
        <v>33</v>
      </c>
    </row>
    <row r="899" spans="1:9" x14ac:dyDescent="0.2">
      <c r="A899" s="14">
        <v>2007</v>
      </c>
      <c r="B899" s="14" t="s">
        <v>191</v>
      </c>
      <c r="C899" s="14" t="s">
        <v>192</v>
      </c>
      <c r="D899" s="15" t="s">
        <v>33</v>
      </c>
      <c r="E899" s="15" t="s">
        <v>33</v>
      </c>
      <c r="F899" s="15" t="s">
        <v>33</v>
      </c>
      <c r="G899" s="15" t="s">
        <v>33</v>
      </c>
      <c r="H899" s="15" t="s">
        <v>33</v>
      </c>
      <c r="I899" s="15" t="s">
        <v>33</v>
      </c>
    </row>
    <row r="900" spans="1:9" x14ac:dyDescent="0.2">
      <c r="A900" s="14">
        <v>2008</v>
      </c>
      <c r="B900" s="14" t="s">
        <v>191</v>
      </c>
      <c r="C900" s="14" t="s">
        <v>192</v>
      </c>
      <c r="D900" s="15" t="s">
        <v>33</v>
      </c>
      <c r="E900" s="15" t="s">
        <v>33</v>
      </c>
      <c r="F900" s="15" t="s">
        <v>33</v>
      </c>
      <c r="G900" s="15" t="s">
        <v>33</v>
      </c>
      <c r="H900" s="15" t="s">
        <v>33</v>
      </c>
      <c r="I900" s="15" t="s">
        <v>33</v>
      </c>
    </row>
    <row r="901" spans="1:9" x14ac:dyDescent="0.2">
      <c r="A901" s="14">
        <v>2009</v>
      </c>
      <c r="B901" s="14" t="s">
        <v>191</v>
      </c>
      <c r="C901" s="14" t="s">
        <v>192</v>
      </c>
      <c r="D901" s="15" t="s">
        <v>33</v>
      </c>
      <c r="E901" s="15" t="s">
        <v>33</v>
      </c>
      <c r="F901" s="15" t="s">
        <v>33</v>
      </c>
      <c r="G901" s="15" t="s">
        <v>33</v>
      </c>
      <c r="H901" s="15" t="s">
        <v>33</v>
      </c>
      <c r="I901" s="15" t="s">
        <v>33</v>
      </c>
    </row>
    <row r="902" spans="1:9" x14ac:dyDescent="0.2">
      <c r="A902" s="14">
        <v>2010</v>
      </c>
      <c r="B902" s="14" t="s">
        <v>191</v>
      </c>
      <c r="C902" s="14" t="s">
        <v>192</v>
      </c>
      <c r="D902" s="15" t="s">
        <v>33</v>
      </c>
      <c r="E902" s="15" t="s">
        <v>33</v>
      </c>
      <c r="F902" s="15" t="s">
        <v>33</v>
      </c>
      <c r="G902" s="15" t="s">
        <v>33</v>
      </c>
      <c r="H902" s="15" t="s">
        <v>33</v>
      </c>
      <c r="I902" s="15" t="s">
        <v>33</v>
      </c>
    </row>
    <row r="903" spans="1:9" x14ac:dyDescent="0.2">
      <c r="A903" s="14">
        <v>2011</v>
      </c>
      <c r="B903" s="14" t="s">
        <v>191</v>
      </c>
      <c r="C903" s="14" t="s">
        <v>192</v>
      </c>
      <c r="D903" s="15" t="s">
        <v>33</v>
      </c>
      <c r="E903" s="15" t="s">
        <v>33</v>
      </c>
      <c r="F903" s="15" t="s">
        <v>33</v>
      </c>
      <c r="G903" s="15" t="s">
        <v>33</v>
      </c>
      <c r="H903" s="15" t="s">
        <v>33</v>
      </c>
      <c r="I903" s="15" t="s">
        <v>33</v>
      </c>
    </row>
    <row r="904" spans="1:9" x14ac:dyDescent="0.2">
      <c r="A904" s="14">
        <v>2012</v>
      </c>
      <c r="B904" s="14" t="s">
        <v>191</v>
      </c>
      <c r="C904" s="14" t="s">
        <v>192</v>
      </c>
      <c r="D904" s="15" t="s">
        <v>33</v>
      </c>
      <c r="E904" s="15" t="s">
        <v>33</v>
      </c>
      <c r="F904" s="15" t="s">
        <v>33</v>
      </c>
      <c r="G904" s="15" t="s">
        <v>33</v>
      </c>
      <c r="H904" s="15" t="s">
        <v>33</v>
      </c>
      <c r="I904" s="15" t="s">
        <v>33</v>
      </c>
    </row>
    <row r="905" spans="1:9" x14ac:dyDescent="0.2">
      <c r="A905" s="14">
        <v>2013</v>
      </c>
      <c r="B905" s="14" t="s">
        <v>191</v>
      </c>
      <c r="C905" s="14" t="s">
        <v>192</v>
      </c>
      <c r="D905" s="15" t="s">
        <v>33</v>
      </c>
      <c r="E905" s="15" t="s">
        <v>33</v>
      </c>
      <c r="F905" s="15" t="s">
        <v>33</v>
      </c>
      <c r="G905" s="15" t="s">
        <v>33</v>
      </c>
      <c r="H905" s="15" t="s">
        <v>33</v>
      </c>
      <c r="I905" s="15" t="s">
        <v>33</v>
      </c>
    </row>
    <row r="906" spans="1:9" x14ac:dyDescent="0.2">
      <c r="A906" s="14">
        <v>2014</v>
      </c>
      <c r="B906" s="14" t="s">
        <v>191</v>
      </c>
      <c r="C906" s="14" t="s">
        <v>192</v>
      </c>
      <c r="D906" s="15" t="s">
        <v>33</v>
      </c>
      <c r="E906" s="15" t="s">
        <v>33</v>
      </c>
      <c r="F906" s="15" t="s">
        <v>33</v>
      </c>
      <c r="G906" s="15" t="s">
        <v>33</v>
      </c>
      <c r="H906" s="15" t="s">
        <v>33</v>
      </c>
      <c r="I906" s="15" t="s">
        <v>33</v>
      </c>
    </row>
    <row r="907" spans="1:9" x14ac:dyDescent="0.2">
      <c r="A907" s="14">
        <v>2015</v>
      </c>
      <c r="B907" s="14" t="s">
        <v>191</v>
      </c>
      <c r="C907" s="14" t="s">
        <v>192</v>
      </c>
      <c r="D907" s="15" t="s">
        <v>33</v>
      </c>
      <c r="E907" s="15" t="s">
        <v>33</v>
      </c>
      <c r="F907" s="15" t="s">
        <v>33</v>
      </c>
      <c r="G907" s="15" t="s">
        <v>33</v>
      </c>
      <c r="H907" s="15" t="s">
        <v>33</v>
      </c>
      <c r="I907" s="15" t="s">
        <v>33</v>
      </c>
    </row>
    <row r="908" spans="1:9" x14ac:dyDescent="0.2">
      <c r="A908" s="14">
        <v>2016</v>
      </c>
      <c r="B908" s="14" t="s">
        <v>191</v>
      </c>
      <c r="C908" s="14" t="s">
        <v>192</v>
      </c>
      <c r="D908" s="15" t="s">
        <v>33</v>
      </c>
      <c r="E908" s="15" t="s">
        <v>33</v>
      </c>
      <c r="F908" s="15" t="s">
        <v>33</v>
      </c>
      <c r="G908" s="15" t="s">
        <v>33</v>
      </c>
      <c r="H908" s="15" t="s">
        <v>33</v>
      </c>
      <c r="I908" s="15" t="s">
        <v>33</v>
      </c>
    </row>
    <row r="909" spans="1:9" x14ac:dyDescent="0.2">
      <c r="A909" s="14">
        <v>2017</v>
      </c>
      <c r="B909" s="14" t="s">
        <v>191</v>
      </c>
      <c r="C909" s="14" t="s">
        <v>192</v>
      </c>
      <c r="D909" s="15" t="s">
        <v>33</v>
      </c>
      <c r="E909" s="15" t="s">
        <v>33</v>
      </c>
      <c r="F909" s="15" t="s">
        <v>33</v>
      </c>
      <c r="G909" s="15" t="s">
        <v>33</v>
      </c>
      <c r="H909" s="15" t="s">
        <v>33</v>
      </c>
      <c r="I909" s="15" t="s">
        <v>33</v>
      </c>
    </row>
    <row r="910" spans="1:9" x14ac:dyDescent="0.2">
      <c r="A910" s="14">
        <v>2018</v>
      </c>
      <c r="B910" s="14" t="s">
        <v>191</v>
      </c>
      <c r="C910" s="14" t="s">
        <v>192</v>
      </c>
      <c r="D910" s="15" t="s">
        <v>33</v>
      </c>
      <c r="E910" s="15" t="s">
        <v>33</v>
      </c>
      <c r="F910" s="15" t="s">
        <v>33</v>
      </c>
      <c r="G910" s="15" t="s">
        <v>33</v>
      </c>
      <c r="H910" s="15" t="s">
        <v>33</v>
      </c>
      <c r="I910" s="15" t="s">
        <v>33</v>
      </c>
    </row>
    <row r="911" spans="1:9" x14ac:dyDescent="0.2">
      <c r="A911" s="14">
        <v>2019</v>
      </c>
      <c r="B911" s="14" t="s">
        <v>191</v>
      </c>
      <c r="C911" s="14" t="s">
        <v>192</v>
      </c>
      <c r="D911" s="15" t="s">
        <v>33</v>
      </c>
      <c r="E911" s="15" t="s">
        <v>33</v>
      </c>
      <c r="F911" s="15" t="s">
        <v>33</v>
      </c>
      <c r="G911" s="15" t="s">
        <v>33</v>
      </c>
      <c r="H911" s="15" t="s">
        <v>33</v>
      </c>
      <c r="I911" s="15" t="s">
        <v>33</v>
      </c>
    </row>
    <row r="912" spans="1:9" x14ac:dyDescent="0.2">
      <c r="A912" s="14">
        <v>2020</v>
      </c>
      <c r="B912" s="14" t="s">
        <v>191</v>
      </c>
      <c r="C912" s="14" t="s">
        <v>192</v>
      </c>
      <c r="D912" s="15" t="s">
        <v>33</v>
      </c>
      <c r="E912" s="15" t="s">
        <v>33</v>
      </c>
      <c r="F912" s="15" t="s">
        <v>33</v>
      </c>
      <c r="G912" s="15" t="s">
        <v>33</v>
      </c>
      <c r="H912" s="15" t="s">
        <v>33</v>
      </c>
      <c r="I912" s="15" t="s">
        <v>33</v>
      </c>
    </row>
    <row r="913" spans="1:9" x14ac:dyDescent="0.2">
      <c r="A913" s="14">
        <v>2021</v>
      </c>
      <c r="B913" s="14" t="s">
        <v>191</v>
      </c>
      <c r="C913" s="14" t="s">
        <v>192</v>
      </c>
      <c r="D913" s="15" t="s">
        <v>33</v>
      </c>
      <c r="E913" s="15" t="s">
        <v>33</v>
      </c>
      <c r="F913" s="15" t="s">
        <v>33</v>
      </c>
      <c r="G913" s="15" t="s">
        <v>33</v>
      </c>
      <c r="H913" s="15" t="s">
        <v>33</v>
      </c>
      <c r="I913" s="15" t="s">
        <v>33</v>
      </c>
    </row>
    <row r="914" spans="1:9" x14ac:dyDescent="0.2">
      <c r="A914" s="14">
        <v>2022</v>
      </c>
      <c r="B914" s="14" t="s">
        <v>191</v>
      </c>
      <c r="C914" s="14" t="s">
        <v>192</v>
      </c>
      <c r="D914" s="15" t="s">
        <v>33</v>
      </c>
      <c r="E914" s="15" t="s">
        <v>33</v>
      </c>
      <c r="F914" s="15" t="s">
        <v>33</v>
      </c>
      <c r="G914" s="15" t="s">
        <v>33</v>
      </c>
      <c r="H914" s="15" t="s">
        <v>33</v>
      </c>
      <c r="I914" s="15" t="s">
        <v>33</v>
      </c>
    </row>
    <row r="915" spans="1:9" x14ac:dyDescent="0.2">
      <c r="A915" s="14">
        <v>2023</v>
      </c>
      <c r="B915" s="14" t="s">
        <v>191</v>
      </c>
      <c r="C915" s="14" t="s">
        <v>192</v>
      </c>
      <c r="D915" s="15" t="s">
        <v>33</v>
      </c>
      <c r="E915" s="15" t="s">
        <v>33</v>
      </c>
      <c r="F915" s="15" t="s">
        <v>33</v>
      </c>
      <c r="G915" s="15" t="s">
        <v>33</v>
      </c>
      <c r="H915" s="15" t="s">
        <v>33</v>
      </c>
      <c r="I915" s="15" t="s">
        <v>33</v>
      </c>
    </row>
    <row r="916" spans="1:9" x14ac:dyDescent="0.2">
      <c r="A916" s="14">
        <v>2024</v>
      </c>
      <c r="B916" s="14" t="s">
        <v>191</v>
      </c>
      <c r="C916" s="14" t="s">
        <v>192</v>
      </c>
      <c r="D916" s="15" t="s">
        <v>33</v>
      </c>
      <c r="E916" s="15" t="s">
        <v>33</v>
      </c>
      <c r="F916" s="15" t="s">
        <v>33</v>
      </c>
      <c r="G916" s="15" t="s">
        <v>33</v>
      </c>
      <c r="H916" s="15" t="s">
        <v>33</v>
      </c>
      <c r="I916" s="15" t="s">
        <v>33</v>
      </c>
    </row>
    <row r="917" spans="1:9" x14ac:dyDescent="0.2">
      <c r="A917" s="14"/>
      <c r="B917" s="14"/>
      <c r="C917" s="14"/>
      <c r="D917" s="15"/>
      <c r="E917" s="15"/>
      <c r="F917" s="15"/>
      <c r="G917" s="15"/>
      <c r="H917" s="15"/>
      <c r="I917" s="15"/>
    </row>
  </sheetData>
  <mergeCells count="4">
    <mergeCell ref="A5:B5"/>
    <mergeCell ref="A6:B6"/>
    <mergeCell ref="D5:F5"/>
    <mergeCell ref="G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EB03-CB40-490F-86AF-B6E4E7A65F2A}">
  <dimension ref="A1:F397"/>
  <sheetViews>
    <sheetView workbookViewId="0">
      <selection activeCell="I325" sqref="I325"/>
    </sheetView>
  </sheetViews>
  <sheetFormatPr defaultRowHeight="15" x14ac:dyDescent="0.25"/>
  <cols>
    <col min="2" max="2" width="25.28515625" customWidth="1"/>
    <col min="3" max="3" width="39" bestFit="1" customWidth="1"/>
    <col min="4" max="4" width="8.5703125" customWidth="1"/>
    <col min="5" max="6" width="8.5703125" style="5" customWidth="1"/>
  </cols>
  <sheetData>
    <row r="1" spans="1:6" s="1" customFormat="1" ht="12.75" x14ac:dyDescent="0.2">
      <c r="A1" s="3" t="s">
        <v>206</v>
      </c>
      <c r="E1" s="6"/>
      <c r="F1" s="6"/>
    </row>
    <row r="2" spans="1:6" s="1" customFormat="1" ht="12.75" x14ac:dyDescent="0.2">
      <c r="A2" s="3" t="s">
        <v>211</v>
      </c>
      <c r="E2" s="6"/>
      <c r="F2" s="6"/>
    </row>
    <row r="3" spans="1:6" s="1" customFormat="1" ht="12.75" x14ac:dyDescent="0.2">
      <c r="A3" s="4" t="s">
        <v>212</v>
      </c>
      <c r="E3" s="6"/>
      <c r="F3" s="6"/>
    </row>
    <row r="4" spans="1:6" ht="44.25" customHeight="1" x14ac:dyDescent="0.25">
      <c r="A4" s="7"/>
      <c r="B4" s="7"/>
      <c r="C4" s="7"/>
      <c r="D4" s="77" t="s">
        <v>209</v>
      </c>
      <c r="E4" s="77"/>
      <c r="F4" s="77"/>
    </row>
    <row r="5" spans="1:6" ht="25.5" customHeight="1" x14ac:dyDescent="0.25">
      <c r="A5" s="7"/>
      <c r="B5" s="7"/>
      <c r="C5" s="7"/>
      <c r="D5" s="77" t="s">
        <v>207</v>
      </c>
      <c r="E5" s="77"/>
      <c r="F5" s="77"/>
    </row>
    <row r="6" spans="1:6" x14ac:dyDescent="0.25">
      <c r="A6" s="7"/>
      <c r="B6" s="7"/>
      <c r="C6" s="7"/>
      <c r="D6" s="18" t="s">
        <v>203</v>
      </c>
      <c r="E6" s="19" t="s">
        <v>204</v>
      </c>
      <c r="F6" s="19" t="s">
        <v>205</v>
      </c>
    </row>
    <row r="7" spans="1:6" x14ac:dyDescent="0.25">
      <c r="A7" s="12">
        <v>2010</v>
      </c>
      <c r="B7" s="12" t="s">
        <v>210</v>
      </c>
      <c r="C7" s="12" t="s">
        <v>130</v>
      </c>
      <c r="D7" s="16">
        <v>17</v>
      </c>
      <c r="E7" s="16">
        <v>13</v>
      </c>
      <c r="F7" s="16">
        <v>21</v>
      </c>
    </row>
    <row r="8" spans="1:6" x14ac:dyDescent="0.25">
      <c r="A8" s="12">
        <v>2011</v>
      </c>
      <c r="B8" s="12" t="s">
        <v>210</v>
      </c>
      <c r="C8" s="12" t="s">
        <v>130</v>
      </c>
      <c r="D8" s="16">
        <v>20</v>
      </c>
      <c r="E8" s="16">
        <v>16</v>
      </c>
      <c r="F8" s="16">
        <v>24</v>
      </c>
    </row>
    <row r="9" spans="1:6" x14ac:dyDescent="0.25">
      <c r="A9" s="12">
        <v>2012</v>
      </c>
      <c r="B9" s="12" t="s">
        <v>210</v>
      </c>
      <c r="C9" s="12" t="s">
        <v>130</v>
      </c>
      <c r="D9" s="16">
        <v>24</v>
      </c>
      <c r="E9" s="16">
        <v>19</v>
      </c>
      <c r="F9" s="16">
        <v>29</v>
      </c>
    </row>
    <row r="10" spans="1:6" x14ac:dyDescent="0.25">
      <c r="A10" s="12">
        <v>2013</v>
      </c>
      <c r="B10" s="12" t="s">
        <v>210</v>
      </c>
      <c r="C10" s="12" t="s">
        <v>130</v>
      </c>
      <c r="D10" s="16">
        <v>28</v>
      </c>
      <c r="E10" s="16">
        <v>21</v>
      </c>
      <c r="F10" s="16">
        <v>33</v>
      </c>
    </row>
    <row r="11" spans="1:6" x14ac:dyDescent="0.25">
      <c r="A11" s="12">
        <v>2014</v>
      </c>
      <c r="B11" s="12" t="s">
        <v>210</v>
      </c>
      <c r="C11" s="12" t="s">
        <v>130</v>
      </c>
      <c r="D11" s="16">
        <v>31</v>
      </c>
      <c r="E11" s="16">
        <v>24</v>
      </c>
      <c r="F11" s="16">
        <v>38</v>
      </c>
    </row>
    <row r="12" spans="1:6" x14ac:dyDescent="0.25">
      <c r="A12" s="12">
        <v>2015</v>
      </c>
      <c r="B12" s="12" t="s">
        <v>210</v>
      </c>
      <c r="C12" s="12" t="s">
        <v>130</v>
      </c>
      <c r="D12" s="16">
        <v>35</v>
      </c>
      <c r="E12" s="16">
        <v>27</v>
      </c>
      <c r="F12" s="16">
        <v>42</v>
      </c>
    </row>
    <row r="13" spans="1:6" x14ac:dyDescent="0.25">
      <c r="A13" s="12">
        <v>2016</v>
      </c>
      <c r="B13" s="12" t="s">
        <v>210</v>
      </c>
      <c r="C13" s="12" t="s">
        <v>130</v>
      </c>
      <c r="D13" s="16">
        <v>40</v>
      </c>
      <c r="E13" s="16">
        <v>31</v>
      </c>
      <c r="F13" s="16">
        <v>49</v>
      </c>
    </row>
    <row r="14" spans="1:6" x14ac:dyDescent="0.25">
      <c r="A14" s="12">
        <v>2017</v>
      </c>
      <c r="B14" s="12" t="s">
        <v>210</v>
      </c>
      <c r="C14" s="12" t="s">
        <v>130</v>
      </c>
      <c r="D14" s="16">
        <v>46</v>
      </c>
      <c r="E14" s="16">
        <v>35</v>
      </c>
      <c r="F14" s="16">
        <v>55</v>
      </c>
    </row>
    <row r="15" spans="1:6" x14ac:dyDescent="0.25">
      <c r="A15" s="12">
        <v>2018</v>
      </c>
      <c r="B15" s="12" t="s">
        <v>210</v>
      </c>
      <c r="C15" s="12" t="s">
        <v>130</v>
      </c>
      <c r="D15" s="16">
        <v>48</v>
      </c>
      <c r="E15" s="16">
        <v>37</v>
      </c>
      <c r="F15" s="16">
        <v>58</v>
      </c>
    </row>
    <row r="16" spans="1:6" x14ac:dyDescent="0.25">
      <c r="A16" s="12">
        <v>2019</v>
      </c>
      <c r="B16" s="12" t="s">
        <v>210</v>
      </c>
      <c r="C16" s="12" t="s">
        <v>130</v>
      </c>
      <c r="D16" s="16">
        <v>53</v>
      </c>
      <c r="E16" s="16">
        <v>41</v>
      </c>
      <c r="F16" s="16">
        <v>64</v>
      </c>
    </row>
    <row r="17" spans="1:6" x14ac:dyDescent="0.25">
      <c r="A17" s="12">
        <v>2020</v>
      </c>
      <c r="B17" s="12" t="s">
        <v>210</v>
      </c>
      <c r="C17" s="12" t="s">
        <v>130</v>
      </c>
      <c r="D17" s="16">
        <v>59</v>
      </c>
      <c r="E17" s="16">
        <v>46</v>
      </c>
      <c r="F17" s="16">
        <v>71</v>
      </c>
    </row>
    <row r="18" spans="1:6" x14ac:dyDescent="0.25">
      <c r="A18" s="12">
        <v>2021</v>
      </c>
      <c r="B18" s="12" t="s">
        <v>210</v>
      </c>
      <c r="C18" s="12" t="s">
        <v>130</v>
      </c>
      <c r="D18" s="16">
        <v>65</v>
      </c>
      <c r="E18" s="16">
        <v>50</v>
      </c>
      <c r="F18" s="16">
        <v>78</v>
      </c>
    </row>
    <row r="19" spans="1:6" x14ac:dyDescent="0.25">
      <c r="A19" s="12">
        <v>2022</v>
      </c>
      <c r="B19" s="12" t="s">
        <v>210</v>
      </c>
      <c r="C19" s="12" t="s">
        <v>130</v>
      </c>
      <c r="D19" s="16">
        <v>70</v>
      </c>
      <c r="E19" s="16">
        <v>54</v>
      </c>
      <c r="F19" s="16">
        <v>85</v>
      </c>
    </row>
    <row r="20" spans="1:6" x14ac:dyDescent="0.25">
      <c r="A20" s="12">
        <v>2023</v>
      </c>
      <c r="B20" s="12" t="s">
        <v>210</v>
      </c>
      <c r="C20" s="12" t="s">
        <v>130</v>
      </c>
      <c r="D20" s="16">
        <v>75</v>
      </c>
      <c r="E20" s="16">
        <v>58</v>
      </c>
      <c r="F20" s="16">
        <v>91</v>
      </c>
    </row>
    <row r="21" spans="1:6" x14ac:dyDescent="0.25">
      <c r="A21" s="12">
        <v>2024</v>
      </c>
      <c r="B21" s="12" t="s">
        <v>210</v>
      </c>
      <c r="C21" s="12" t="s">
        <v>130</v>
      </c>
      <c r="D21" s="16">
        <v>79</v>
      </c>
      <c r="E21" s="16">
        <v>61</v>
      </c>
      <c r="F21" s="16">
        <v>96</v>
      </c>
    </row>
    <row r="22" spans="1:6" x14ac:dyDescent="0.25">
      <c r="A22" s="14">
        <v>2010</v>
      </c>
      <c r="B22" s="14" t="s">
        <v>134</v>
      </c>
      <c r="C22" s="14" t="s">
        <v>135</v>
      </c>
      <c r="D22" s="17">
        <v>33</v>
      </c>
      <c r="E22" s="17">
        <v>27</v>
      </c>
      <c r="F22" s="17">
        <v>40</v>
      </c>
    </row>
    <row r="23" spans="1:6" x14ac:dyDescent="0.25">
      <c r="A23" s="14">
        <v>2011</v>
      </c>
      <c r="B23" s="14" t="s">
        <v>134</v>
      </c>
      <c r="C23" s="14" t="s">
        <v>135</v>
      </c>
      <c r="D23" s="17">
        <v>41</v>
      </c>
      <c r="E23" s="17">
        <v>33</v>
      </c>
      <c r="F23" s="17">
        <v>50</v>
      </c>
    </row>
    <row r="24" spans="1:6" x14ac:dyDescent="0.25">
      <c r="A24" s="14">
        <v>2012</v>
      </c>
      <c r="B24" s="14" t="s">
        <v>134</v>
      </c>
      <c r="C24" s="14" t="s">
        <v>135</v>
      </c>
      <c r="D24" s="17">
        <v>43</v>
      </c>
      <c r="E24" s="17">
        <v>35</v>
      </c>
      <c r="F24" s="17">
        <v>53</v>
      </c>
    </row>
    <row r="25" spans="1:6" x14ac:dyDescent="0.25">
      <c r="A25" s="14">
        <v>2013</v>
      </c>
      <c r="B25" s="14" t="s">
        <v>134</v>
      </c>
      <c r="C25" s="14" t="s">
        <v>135</v>
      </c>
      <c r="D25" s="17">
        <v>38</v>
      </c>
      <c r="E25" s="17">
        <v>31</v>
      </c>
      <c r="F25" s="17">
        <v>47</v>
      </c>
    </row>
    <row r="26" spans="1:6" x14ac:dyDescent="0.25">
      <c r="A26" s="14">
        <v>2014</v>
      </c>
      <c r="B26" s="14" t="s">
        <v>134</v>
      </c>
      <c r="C26" s="14" t="s">
        <v>135</v>
      </c>
      <c r="D26" s="17">
        <v>44</v>
      </c>
      <c r="E26" s="17">
        <v>36</v>
      </c>
      <c r="F26" s="17">
        <v>54</v>
      </c>
    </row>
    <row r="27" spans="1:6" x14ac:dyDescent="0.25">
      <c r="A27" s="14">
        <v>2015</v>
      </c>
      <c r="B27" s="14" t="s">
        <v>134</v>
      </c>
      <c r="C27" s="14" t="s">
        <v>135</v>
      </c>
      <c r="D27" s="17">
        <v>38</v>
      </c>
      <c r="E27" s="17">
        <v>31</v>
      </c>
      <c r="F27" s="17">
        <v>47</v>
      </c>
    </row>
    <row r="28" spans="1:6" x14ac:dyDescent="0.25">
      <c r="A28" s="14">
        <v>2016</v>
      </c>
      <c r="B28" s="14" t="s">
        <v>134</v>
      </c>
      <c r="C28" s="14" t="s">
        <v>135</v>
      </c>
      <c r="D28" s="17">
        <v>35</v>
      </c>
      <c r="E28" s="17">
        <v>29</v>
      </c>
      <c r="F28" s="17">
        <v>43</v>
      </c>
    </row>
    <row r="29" spans="1:6" x14ac:dyDescent="0.25">
      <c r="A29" s="14">
        <v>2017</v>
      </c>
      <c r="B29" s="14" t="s">
        <v>134</v>
      </c>
      <c r="C29" s="14" t="s">
        <v>135</v>
      </c>
      <c r="D29" s="17">
        <v>57</v>
      </c>
      <c r="E29" s="17">
        <v>47</v>
      </c>
      <c r="F29" s="17">
        <v>70</v>
      </c>
    </row>
    <row r="30" spans="1:6" x14ac:dyDescent="0.25">
      <c r="A30" s="14">
        <v>2018</v>
      </c>
      <c r="B30" s="14" t="s">
        <v>134</v>
      </c>
      <c r="C30" s="14" t="s">
        <v>135</v>
      </c>
      <c r="D30" s="17">
        <v>60</v>
      </c>
      <c r="E30" s="17">
        <v>50</v>
      </c>
      <c r="F30" s="17">
        <v>74</v>
      </c>
    </row>
    <row r="31" spans="1:6" x14ac:dyDescent="0.25">
      <c r="A31" s="14">
        <v>2019</v>
      </c>
      <c r="B31" s="14" t="s">
        <v>134</v>
      </c>
      <c r="C31" s="14" t="s">
        <v>135</v>
      </c>
      <c r="D31" s="17">
        <v>66</v>
      </c>
      <c r="E31" s="17">
        <v>55</v>
      </c>
      <c r="F31" s="17">
        <v>82</v>
      </c>
    </row>
    <row r="32" spans="1:6" x14ac:dyDescent="0.25">
      <c r="A32" s="14">
        <v>2020</v>
      </c>
      <c r="B32" s="14" t="s">
        <v>134</v>
      </c>
      <c r="C32" s="14" t="s">
        <v>135</v>
      </c>
      <c r="D32" s="17">
        <v>74</v>
      </c>
      <c r="E32" s="17">
        <v>62</v>
      </c>
      <c r="F32" s="17">
        <v>92</v>
      </c>
    </row>
    <row r="33" spans="1:6" x14ac:dyDescent="0.25">
      <c r="A33" s="14">
        <v>2021</v>
      </c>
      <c r="B33" s="14" t="s">
        <v>134</v>
      </c>
      <c r="C33" s="14" t="s">
        <v>135</v>
      </c>
      <c r="D33" s="17">
        <v>82</v>
      </c>
      <c r="E33" s="17">
        <v>67</v>
      </c>
      <c r="F33" s="17" t="s">
        <v>208</v>
      </c>
    </row>
    <row r="34" spans="1:6" x14ac:dyDescent="0.25">
      <c r="A34" s="14">
        <v>2022</v>
      </c>
      <c r="B34" s="14" t="s">
        <v>134</v>
      </c>
      <c r="C34" s="14" t="s">
        <v>135</v>
      </c>
      <c r="D34" s="17">
        <v>89</v>
      </c>
      <c r="E34" s="17">
        <v>73</v>
      </c>
      <c r="F34" s="17" t="s">
        <v>208</v>
      </c>
    </row>
    <row r="35" spans="1:6" x14ac:dyDescent="0.25">
      <c r="A35" s="14">
        <v>2023</v>
      </c>
      <c r="B35" s="14" t="s">
        <v>134</v>
      </c>
      <c r="C35" s="14" t="s">
        <v>135</v>
      </c>
      <c r="D35" s="17">
        <v>84</v>
      </c>
      <c r="E35" s="17">
        <v>69</v>
      </c>
      <c r="F35" s="17" t="s">
        <v>208</v>
      </c>
    </row>
    <row r="36" spans="1:6" x14ac:dyDescent="0.25">
      <c r="A36" s="14">
        <v>2024</v>
      </c>
      <c r="B36" s="14" t="s">
        <v>134</v>
      </c>
      <c r="C36" s="14" t="s">
        <v>135</v>
      </c>
      <c r="D36" s="17">
        <v>91</v>
      </c>
      <c r="E36" s="17">
        <v>74</v>
      </c>
      <c r="F36" s="17" t="s">
        <v>208</v>
      </c>
    </row>
    <row r="37" spans="1:6" x14ac:dyDescent="0.25">
      <c r="A37" s="14">
        <v>2010</v>
      </c>
      <c r="B37" s="14" t="s">
        <v>136</v>
      </c>
      <c r="C37" s="14" t="s">
        <v>137</v>
      </c>
      <c r="D37" s="17">
        <v>35</v>
      </c>
      <c r="E37" s="17">
        <v>28</v>
      </c>
      <c r="F37" s="17">
        <v>43</v>
      </c>
    </row>
    <row r="38" spans="1:6" x14ac:dyDescent="0.25">
      <c r="A38" s="14">
        <v>2011</v>
      </c>
      <c r="B38" s="14" t="s">
        <v>136</v>
      </c>
      <c r="C38" s="14" t="s">
        <v>137</v>
      </c>
      <c r="D38" s="17">
        <v>40</v>
      </c>
      <c r="E38" s="17">
        <v>32</v>
      </c>
      <c r="F38" s="17">
        <v>50</v>
      </c>
    </row>
    <row r="39" spans="1:6" x14ac:dyDescent="0.25">
      <c r="A39" s="14">
        <v>2012</v>
      </c>
      <c r="B39" s="14" t="s">
        <v>136</v>
      </c>
      <c r="C39" s="14" t="s">
        <v>137</v>
      </c>
      <c r="D39" s="17">
        <v>43</v>
      </c>
      <c r="E39" s="17">
        <v>35</v>
      </c>
      <c r="F39" s="17">
        <v>54</v>
      </c>
    </row>
    <row r="40" spans="1:6" x14ac:dyDescent="0.25">
      <c r="A40" s="14">
        <v>2013</v>
      </c>
      <c r="B40" s="14" t="s">
        <v>136</v>
      </c>
      <c r="C40" s="14" t="s">
        <v>137</v>
      </c>
      <c r="D40" s="17">
        <v>48</v>
      </c>
      <c r="E40" s="17">
        <v>39</v>
      </c>
      <c r="F40" s="17">
        <v>59</v>
      </c>
    </row>
    <row r="41" spans="1:6" x14ac:dyDescent="0.25">
      <c r="A41" s="14">
        <v>2014</v>
      </c>
      <c r="B41" s="14" t="s">
        <v>136</v>
      </c>
      <c r="C41" s="14" t="s">
        <v>137</v>
      </c>
      <c r="D41" s="17">
        <v>53</v>
      </c>
      <c r="E41" s="17">
        <v>43</v>
      </c>
      <c r="F41" s="17">
        <v>66</v>
      </c>
    </row>
    <row r="42" spans="1:6" x14ac:dyDescent="0.25">
      <c r="A42" s="14">
        <v>2015</v>
      </c>
      <c r="B42" s="14" t="s">
        <v>136</v>
      </c>
      <c r="C42" s="14" t="s">
        <v>137</v>
      </c>
      <c r="D42" s="17">
        <v>60</v>
      </c>
      <c r="E42" s="17">
        <v>49</v>
      </c>
      <c r="F42" s="17">
        <v>74</v>
      </c>
    </row>
    <row r="43" spans="1:6" x14ac:dyDescent="0.25">
      <c r="A43" s="14">
        <v>2016</v>
      </c>
      <c r="B43" s="14" t="s">
        <v>136</v>
      </c>
      <c r="C43" s="14" t="s">
        <v>137</v>
      </c>
      <c r="D43" s="17">
        <v>66</v>
      </c>
      <c r="E43" s="17">
        <v>54</v>
      </c>
      <c r="F43" s="17">
        <v>81</v>
      </c>
    </row>
    <row r="44" spans="1:6" x14ac:dyDescent="0.25">
      <c r="A44" s="14">
        <v>2017</v>
      </c>
      <c r="B44" s="14" t="s">
        <v>136</v>
      </c>
      <c r="C44" s="14" t="s">
        <v>137</v>
      </c>
      <c r="D44" s="17">
        <v>71</v>
      </c>
      <c r="E44" s="17">
        <v>59</v>
      </c>
      <c r="F44" s="17">
        <v>87</v>
      </c>
    </row>
    <row r="45" spans="1:6" x14ac:dyDescent="0.25">
      <c r="A45" s="14">
        <v>2018</v>
      </c>
      <c r="B45" s="14" t="s">
        <v>136</v>
      </c>
      <c r="C45" s="14" t="s">
        <v>137</v>
      </c>
      <c r="D45" s="17">
        <v>69</v>
      </c>
      <c r="E45" s="17">
        <v>57</v>
      </c>
      <c r="F45" s="17">
        <v>85</v>
      </c>
    </row>
    <row r="46" spans="1:6" x14ac:dyDescent="0.25">
      <c r="A46" s="14">
        <v>2019</v>
      </c>
      <c r="B46" s="14" t="s">
        <v>136</v>
      </c>
      <c r="C46" s="14" t="s">
        <v>137</v>
      </c>
      <c r="D46" s="17">
        <v>79</v>
      </c>
      <c r="E46" s="17">
        <v>66</v>
      </c>
      <c r="F46" s="17">
        <v>98</v>
      </c>
    </row>
    <row r="47" spans="1:6" x14ac:dyDescent="0.25">
      <c r="A47" s="14">
        <v>2020</v>
      </c>
      <c r="B47" s="14" t="s">
        <v>136</v>
      </c>
      <c r="C47" s="14" t="s">
        <v>137</v>
      </c>
      <c r="D47" s="17">
        <v>72</v>
      </c>
      <c r="E47" s="17">
        <v>60</v>
      </c>
      <c r="F47" s="17">
        <v>88</v>
      </c>
    </row>
    <row r="48" spans="1:6" x14ac:dyDescent="0.25">
      <c r="A48" s="14">
        <v>2021</v>
      </c>
      <c r="B48" s="14" t="s">
        <v>136</v>
      </c>
      <c r="C48" s="14" t="s">
        <v>137</v>
      </c>
      <c r="D48" s="17">
        <v>77</v>
      </c>
      <c r="E48" s="17">
        <v>64</v>
      </c>
      <c r="F48" s="17">
        <v>95</v>
      </c>
    </row>
    <row r="49" spans="1:6" x14ac:dyDescent="0.25">
      <c r="A49" s="14">
        <v>2022</v>
      </c>
      <c r="B49" s="14" t="s">
        <v>136</v>
      </c>
      <c r="C49" s="14" t="s">
        <v>137</v>
      </c>
      <c r="D49" s="17">
        <v>81</v>
      </c>
      <c r="E49" s="17">
        <v>67</v>
      </c>
      <c r="F49" s="17" t="s">
        <v>208</v>
      </c>
    </row>
    <row r="50" spans="1:6" x14ac:dyDescent="0.25">
      <c r="A50" s="14">
        <v>2023</v>
      </c>
      <c r="B50" s="14" t="s">
        <v>136</v>
      </c>
      <c r="C50" s="14" t="s">
        <v>137</v>
      </c>
      <c r="D50" s="17">
        <v>84</v>
      </c>
      <c r="E50" s="17">
        <v>70</v>
      </c>
      <c r="F50" s="17" t="s">
        <v>208</v>
      </c>
    </row>
    <row r="51" spans="1:6" x14ac:dyDescent="0.25">
      <c r="A51" s="14">
        <v>2024</v>
      </c>
      <c r="B51" s="14" t="s">
        <v>136</v>
      </c>
      <c r="C51" s="14" t="s">
        <v>137</v>
      </c>
      <c r="D51" s="17">
        <v>87</v>
      </c>
      <c r="E51" s="17">
        <v>72</v>
      </c>
      <c r="F51" s="17" t="s">
        <v>208</v>
      </c>
    </row>
    <row r="52" spans="1:6" x14ac:dyDescent="0.25">
      <c r="A52" s="14">
        <v>2010</v>
      </c>
      <c r="B52" s="14" t="s">
        <v>139</v>
      </c>
      <c r="C52" s="14" t="s">
        <v>140</v>
      </c>
      <c r="D52" s="17">
        <v>25</v>
      </c>
      <c r="E52" s="17">
        <v>20</v>
      </c>
      <c r="F52" s="17">
        <v>31</v>
      </c>
    </row>
    <row r="53" spans="1:6" x14ac:dyDescent="0.25">
      <c r="A53" s="14">
        <v>2011</v>
      </c>
      <c r="B53" s="14" t="s">
        <v>139</v>
      </c>
      <c r="C53" s="14" t="s">
        <v>140</v>
      </c>
      <c r="D53" s="17">
        <v>30</v>
      </c>
      <c r="E53" s="17">
        <v>24</v>
      </c>
      <c r="F53" s="17">
        <v>37</v>
      </c>
    </row>
    <row r="54" spans="1:6" x14ac:dyDescent="0.25">
      <c r="A54" s="14">
        <v>2012</v>
      </c>
      <c r="B54" s="14" t="s">
        <v>139</v>
      </c>
      <c r="C54" s="14" t="s">
        <v>140</v>
      </c>
      <c r="D54" s="17">
        <v>33</v>
      </c>
      <c r="E54" s="17">
        <v>27</v>
      </c>
      <c r="F54" s="17">
        <v>41</v>
      </c>
    </row>
    <row r="55" spans="1:6" x14ac:dyDescent="0.25">
      <c r="A55" s="14">
        <v>2013</v>
      </c>
      <c r="B55" s="14" t="s">
        <v>139</v>
      </c>
      <c r="C55" s="14" t="s">
        <v>140</v>
      </c>
      <c r="D55" s="17">
        <v>38</v>
      </c>
      <c r="E55" s="17">
        <v>31</v>
      </c>
      <c r="F55" s="17">
        <v>46</v>
      </c>
    </row>
    <row r="56" spans="1:6" x14ac:dyDescent="0.25">
      <c r="A56" s="14">
        <v>2014</v>
      </c>
      <c r="B56" s="14" t="s">
        <v>139</v>
      </c>
      <c r="C56" s="14" t="s">
        <v>140</v>
      </c>
      <c r="D56" s="17">
        <v>43</v>
      </c>
      <c r="E56" s="17">
        <v>35</v>
      </c>
      <c r="F56" s="17">
        <v>53</v>
      </c>
    </row>
    <row r="57" spans="1:6" x14ac:dyDescent="0.25">
      <c r="A57" s="14">
        <v>2015</v>
      </c>
      <c r="B57" s="14" t="s">
        <v>139</v>
      </c>
      <c r="C57" s="14" t="s">
        <v>140</v>
      </c>
      <c r="D57" s="17">
        <v>51</v>
      </c>
      <c r="E57" s="17">
        <v>42</v>
      </c>
      <c r="F57" s="17">
        <v>62</v>
      </c>
    </row>
    <row r="58" spans="1:6" x14ac:dyDescent="0.25">
      <c r="A58" s="14">
        <v>2016</v>
      </c>
      <c r="B58" s="14" t="s">
        <v>139</v>
      </c>
      <c r="C58" s="14" t="s">
        <v>140</v>
      </c>
      <c r="D58" s="17">
        <v>65</v>
      </c>
      <c r="E58" s="17">
        <v>52</v>
      </c>
      <c r="F58" s="17">
        <v>78</v>
      </c>
    </row>
    <row r="59" spans="1:6" x14ac:dyDescent="0.25">
      <c r="A59" s="14">
        <v>2017</v>
      </c>
      <c r="B59" s="14" t="s">
        <v>139</v>
      </c>
      <c r="C59" s="14" t="s">
        <v>140</v>
      </c>
      <c r="D59" s="17">
        <v>72</v>
      </c>
      <c r="E59" s="17">
        <v>58</v>
      </c>
      <c r="F59" s="17">
        <v>87</v>
      </c>
    </row>
    <row r="60" spans="1:6" x14ac:dyDescent="0.25">
      <c r="A60" s="14">
        <v>2018</v>
      </c>
      <c r="B60" s="14" t="s">
        <v>139</v>
      </c>
      <c r="C60" s="14" t="s">
        <v>140</v>
      </c>
      <c r="D60" s="17">
        <v>78</v>
      </c>
      <c r="E60" s="17">
        <v>63</v>
      </c>
      <c r="F60" s="17">
        <v>94</v>
      </c>
    </row>
    <row r="61" spans="1:6" x14ac:dyDescent="0.25">
      <c r="A61" s="14">
        <v>2019</v>
      </c>
      <c r="B61" s="14" t="s">
        <v>139</v>
      </c>
      <c r="C61" s="14" t="s">
        <v>140</v>
      </c>
      <c r="D61" s="17">
        <v>86</v>
      </c>
      <c r="E61" s="17">
        <v>69</v>
      </c>
      <c r="F61" s="17" t="s">
        <v>208</v>
      </c>
    </row>
    <row r="62" spans="1:6" x14ac:dyDescent="0.25">
      <c r="A62" s="14">
        <v>2020</v>
      </c>
      <c r="B62" s="14" t="s">
        <v>139</v>
      </c>
      <c r="C62" s="14" t="s">
        <v>140</v>
      </c>
      <c r="D62" s="17">
        <v>88</v>
      </c>
      <c r="E62" s="17">
        <v>71</v>
      </c>
      <c r="F62" s="17" t="s">
        <v>208</v>
      </c>
    </row>
    <row r="63" spans="1:6" x14ac:dyDescent="0.25">
      <c r="A63" s="14">
        <v>2021</v>
      </c>
      <c r="B63" s="14" t="s">
        <v>139</v>
      </c>
      <c r="C63" s="14" t="s">
        <v>140</v>
      </c>
      <c r="D63" s="17">
        <v>91</v>
      </c>
      <c r="E63" s="17">
        <v>73</v>
      </c>
      <c r="F63" s="17" t="s">
        <v>208</v>
      </c>
    </row>
    <row r="64" spans="1:6" x14ac:dyDescent="0.25">
      <c r="A64" s="14">
        <v>2022</v>
      </c>
      <c r="B64" s="14" t="s">
        <v>139</v>
      </c>
      <c r="C64" s="14" t="s">
        <v>140</v>
      </c>
      <c r="D64" s="17">
        <v>92</v>
      </c>
      <c r="E64" s="17">
        <v>74</v>
      </c>
      <c r="F64" s="17" t="s">
        <v>208</v>
      </c>
    </row>
    <row r="65" spans="1:6" x14ac:dyDescent="0.25">
      <c r="A65" s="14">
        <v>2023</v>
      </c>
      <c r="B65" s="14" t="s">
        <v>139</v>
      </c>
      <c r="C65" s="14" t="s">
        <v>140</v>
      </c>
      <c r="D65" s="17">
        <v>94</v>
      </c>
      <c r="E65" s="17">
        <v>76</v>
      </c>
      <c r="F65" s="17" t="s">
        <v>208</v>
      </c>
    </row>
    <row r="66" spans="1:6" x14ac:dyDescent="0.25">
      <c r="A66" s="14">
        <v>2024</v>
      </c>
      <c r="B66" s="14" t="s">
        <v>139</v>
      </c>
      <c r="C66" s="14" t="s">
        <v>140</v>
      </c>
      <c r="D66" s="17">
        <v>95</v>
      </c>
      <c r="E66" s="17">
        <v>78</v>
      </c>
      <c r="F66" s="17" t="s">
        <v>208</v>
      </c>
    </row>
    <row r="67" spans="1:6" x14ac:dyDescent="0.25">
      <c r="A67" s="14">
        <v>2010</v>
      </c>
      <c r="B67" s="14" t="s">
        <v>143</v>
      </c>
      <c r="C67" s="14" t="s">
        <v>144</v>
      </c>
      <c r="D67" s="17">
        <v>16</v>
      </c>
      <c r="E67" s="17">
        <v>13</v>
      </c>
      <c r="F67" s="17">
        <v>18</v>
      </c>
    </row>
    <row r="68" spans="1:6" x14ac:dyDescent="0.25">
      <c r="A68" s="14">
        <v>2011</v>
      </c>
      <c r="B68" s="14" t="s">
        <v>143</v>
      </c>
      <c r="C68" s="14" t="s">
        <v>144</v>
      </c>
      <c r="D68" s="17">
        <v>19</v>
      </c>
      <c r="E68" s="17">
        <v>15</v>
      </c>
      <c r="F68" s="17">
        <v>21</v>
      </c>
    </row>
    <row r="69" spans="1:6" x14ac:dyDescent="0.25">
      <c r="A69" s="14">
        <v>2012</v>
      </c>
      <c r="B69" s="14" t="s">
        <v>143</v>
      </c>
      <c r="C69" s="14" t="s">
        <v>144</v>
      </c>
      <c r="D69" s="17">
        <v>22</v>
      </c>
      <c r="E69" s="17">
        <v>18</v>
      </c>
      <c r="F69" s="17">
        <v>25</v>
      </c>
    </row>
    <row r="70" spans="1:6" x14ac:dyDescent="0.25">
      <c r="A70" s="14">
        <v>2013</v>
      </c>
      <c r="B70" s="14" t="s">
        <v>143</v>
      </c>
      <c r="C70" s="14" t="s">
        <v>144</v>
      </c>
      <c r="D70" s="17">
        <v>23</v>
      </c>
      <c r="E70" s="17">
        <v>19</v>
      </c>
      <c r="F70" s="17">
        <v>27</v>
      </c>
    </row>
    <row r="71" spans="1:6" x14ac:dyDescent="0.25">
      <c r="A71" s="14">
        <v>2014</v>
      </c>
      <c r="B71" s="14" t="s">
        <v>143</v>
      </c>
      <c r="C71" s="14" t="s">
        <v>144</v>
      </c>
      <c r="D71" s="17">
        <v>26</v>
      </c>
      <c r="E71" s="17">
        <v>21</v>
      </c>
      <c r="F71" s="17">
        <v>30</v>
      </c>
    </row>
    <row r="72" spans="1:6" x14ac:dyDescent="0.25">
      <c r="A72" s="14">
        <v>2015</v>
      </c>
      <c r="B72" s="14" t="s">
        <v>143</v>
      </c>
      <c r="C72" s="14" t="s">
        <v>144</v>
      </c>
      <c r="D72" s="17">
        <v>30</v>
      </c>
      <c r="E72" s="17">
        <v>25</v>
      </c>
      <c r="F72" s="17">
        <v>35</v>
      </c>
    </row>
    <row r="73" spans="1:6" x14ac:dyDescent="0.25">
      <c r="A73" s="14">
        <v>2016</v>
      </c>
      <c r="B73" s="14" t="s">
        <v>143</v>
      </c>
      <c r="C73" s="14" t="s">
        <v>144</v>
      </c>
      <c r="D73" s="17">
        <v>37</v>
      </c>
      <c r="E73" s="17">
        <v>31</v>
      </c>
      <c r="F73" s="17">
        <v>43</v>
      </c>
    </row>
    <row r="74" spans="1:6" x14ac:dyDescent="0.25">
      <c r="A74" s="14">
        <v>2017</v>
      </c>
      <c r="B74" s="14" t="s">
        <v>143</v>
      </c>
      <c r="C74" s="14" t="s">
        <v>144</v>
      </c>
      <c r="D74" s="17">
        <v>47</v>
      </c>
      <c r="E74" s="17">
        <v>38</v>
      </c>
      <c r="F74" s="17">
        <v>54</v>
      </c>
    </row>
    <row r="75" spans="1:6" x14ac:dyDescent="0.25">
      <c r="A75" s="14">
        <v>2018</v>
      </c>
      <c r="B75" s="14" t="s">
        <v>143</v>
      </c>
      <c r="C75" s="14" t="s">
        <v>144</v>
      </c>
      <c r="D75" s="17">
        <v>54</v>
      </c>
      <c r="E75" s="17">
        <v>44</v>
      </c>
      <c r="F75" s="17">
        <v>62</v>
      </c>
    </row>
    <row r="76" spans="1:6" x14ac:dyDescent="0.25">
      <c r="A76" s="14">
        <v>2019</v>
      </c>
      <c r="B76" s="14" t="s">
        <v>143</v>
      </c>
      <c r="C76" s="14" t="s">
        <v>144</v>
      </c>
      <c r="D76" s="17">
        <v>60</v>
      </c>
      <c r="E76" s="17">
        <v>49</v>
      </c>
      <c r="F76" s="17">
        <v>69</v>
      </c>
    </row>
    <row r="77" spans="1:6" x14ac:dyDescent="0.25">
      <c r="A77" s="14">
        <v>2020</v>
      </c>
      <c r="B77" s="14" t="s">
        <v>143</v>
      </c>
      <c r="C77" s="14" t="s">
        <v>144</v>
      </c>
      <c r="D77" s="17">
        <v>67</v>
      </c>
      <c r="E77" s="17">
        <v>55</v>
      </c>
      <c r="F77" s="17">
        <v>78</v>
      </c>
    </row>
    <row r="78" spans="1:6" x14ac:dyDescent="0.25">
      <c r="A78" s="14">
        <v>2021</v>
      </c>
      <c r="B78" s="14" t="s">
        <v>143</v>
      </c>
      <c r="C78" s="14" t="s">
        <v>144</v>
      </c>
      <c r="D78" s="17">
        <v>75</v>
      </c>
      <c r="E78" s="17">
        <v>61</v>
      </c>
      <c r="F78" s="17">
        <v>87</v>
      </c>
    </row>
    <row r="79" spans="1:6" x14ac:dyDescent="0.25">
      <c r="A79" s="14">
        <v>2022</v>
      </c>
      <c r="B79" s="14" t="s">
        <v>143</v>
      </c>
      <c r="C79" s="14" t="s">
        <v>144</v>
      </c>
      <c r="D79" s="17">
        <v>82</v>
      </c>
      <c r="E79" s="17">
        <v>67</v>
      </c>
      <c r="F79" s="17">
        <v>96</v>
      </c>
    </row>
    <row r="80" spans="1:6" x14ac:dyDescent="0.25">
      <c r="A80" s="14">
        <v>2023</v>
      </c>
      <c r="B80" s="14" t="s">
        <v>143</v>
      </c>
      <c r="C80" s="14" t="s">
        <v>144</v>
      </c>
      <c r="D80" s="17">
        <v>87</v>
      </c>
      <c r="E80" s="17">
        <v>71</v>
      </c>
      <c r="F80" s="17" t="s">
        <v>208</v>
      </c>
    </row>
    <row r="81" spans="1:6" x14ac:dyDescent="0.25">
      <c r="A81" s="14">
        <v>2024</v>
      </c>
      <c r="B81" s="14" t="s">
        <v>143</v>
      </c>
      <c r="C81" s="14" t="s">
        <v>144</v>
      </c>
      <c r="D81" s="17">
        <v>89</v>
      </c>
      <c r="E81" s="17">
        <v>73</v>
      </c>
      <c r="F81" s="17" t="s">
        <v>208</v>
      </c>
    </row>
    <row r="82" spans="1:6" x14ac:dyDescent="0.25">
      <c r="A82" s="14">
        <v>2010</v>
      </c>
      <c r="B82" s="14" t="s">
        <v>146</v>
      </c>
      <c r="C82" s="14" t="s">
        <v>147</v>
      </c>
      <c r="D82" s="17">
        <v>32</v>
      </c>
      <c r="E82" s="17">
        <v>26</v>
      </c>
      <c r="F82" s="17">
        <v>39</v>
      </c>
    </row>
    <row r="83" spans="1:6" x14ac:dyDescent="0.25">
      <c r="A83" s="14">
        <v>2011</v>
      </c>
      <c r="B83" s="14" t="s">
        <v>146</v>
      </c>
      <c r="C83" s="14" t="s">
        <v>147</v>
      </c>
      <c r="D83" s="17">
        <v>35</v>
      </c>
      <c r="E83" s="17">
        <v>28</v>
      </c>
      <c r="F83" s="17">
        <v>43</v>
      </c>
    </row>
    <row r="84" spans="1:6" x14ac:dyDescent="0.25">
      <c r="A84" s="14">
        <v>2012</v>
      </c>
      <c r="B84" s="14" t="s">
        <v>146</v>
      </c>
      <c r="C84" s="14" t="s">
        <v>147</v>
      </c>
      <c r="D84" s="17">
        <v>41</v>
      </c>
      <c r="E84" s="17">
        <v>33</v>
      </c>
      <c r="F84" s="17">
        <v>50</v>
      </c>
    </row>
    <row r="85" spans="1:6" x14ac:dyDescent="0.25">
      <c r="A85" s="14">
        <v>2013</v>
      </c>
      <c r="B85" s="14" t="s">
        <v>146</v>
      </c>
      <c r="C85" s="14" t="s">
        <v>147</v>
      </c>
      <c r="D85" s="17">
        <v>48</v>
      </c>
      <c r="E85" s="17">
        <v>39</v>
      </c>
      <c r="F85" s="17">
        <v>59</v>
      </c>
    </row>
    <row r="86" spans="1:6" x14ac:dyDescent="0.25">
      <c r="A86" s="14">
        <v>2014</v>
      </c>
      <c r="B86" s="14" t="s">
        <v>146</v>
      </c>
      <c r="C86" s="14" t="s">
        <v>147</v>
      </c>
      <c r="D86" s="17">
        <v>51</v>
      </c>
      <c r="E86" s="17">
        <v>41</v>
      </c>
      <c r="F86" s="17">
        <v>63</v>
      </c>
    </row>
    <row r="87" spans="1:6" x14ac:dyDescent="0.25">
      <c r="A87" s="14">
        <v>2015</v>
      </c>
      <c r="B87" s="14" t="s">
        <v>146</v>
      </c>
      <c r="C87" s="14" t="s">
        <v>147</v>
      </c>
      <c r="D87" s="17">
        <v>51</v>
      </c>
      <c r="E87" s="17">
        <v>41</v>
      </c>
      <c r="F87" s="17">
        <v>62</v>
      </c>
    </row>
    <row r="88" spans="1:6" x14ac:dyDescent="0.25">
      <c r="A88" s="14">
        <v>2016</v>
      </c>
      <c r="B88" s="14" t="s">
        <v>146</v>
      </c>
      <c r="C88" s="14" t="s">
        <v>147</v>
      </c>
      <c r="D88" s="17">
        <v>52</v>
      </c>
      <c r="E88" s="17">
        <v>41</v>
      </c>
      <c r="F88" s="17">
        <v>63</v>
      </c>
    </row>
    <row r="89" spans="1:6" x14ac:dyDescent="0.25">
      <c r="A89" s="14">
        <v>2017</v>
      </c>
      <c r="B89" s="14" t="s">
        <v>146</v>
      </c>
      <c r="C89" s="14" t="s">
        <v>147</v>
      </c>
      <c r="D89" s="17">
        <v>59</v>
      </c>
      <c r="E89" s="17">
        <v>46</v>
      </c>
      <c r="F89" s="17">
        <v>72</v>
      </c>
    </row>
    <row r="90" spans="1:6" x14ac:dyDescent="0.25">
      <c r="A90" s="14">
        <v>2018</v>
      </c>
      <c r="B90" s="14" t="s">
        <v>146</v>
      </c>
      <c r="C90" s="14" t="s">
        <v>147</v>
      </c>
      <c r="D90" s="17">
        <v>68</v>
      </c>
      <c r="E90" s="17">
        <v>53</v>
      </c>
      <c r="F90" s="17">
        <v>83</v>
      </c>
    </row>
    <row r="91" spans="1:6" x14ac:dyDescent="0.25">
      <c r="A91" s="14">
        <v>2019</v>
      </c>
      <c r="B91" s="14" t="s">
        <v>146</v>
      </c>
      <c r="C91" s="14" t="s">
        <v>147</v>
      </c>
      <c r="D91" s="17">
        <v>71</v>
      </c>
      <c r="E91" s="17">
        <v>56</v>
      </c>
      <c r="F91" s="17">
        <v>86</v>
      </c>
    </row>
    <row r="92" spans="1:6" x14ac:dyDescent="0.25">
      <c r="A92" s="14">
        <v>2020</v>
      </c>
      <c r="B92" s="14" t="s">
        <v>146</v>
      </c>
      <c r="C92" s="14" t="s">
        <v>147</v>
      </c>
      <c r="D92" s="17">
        <v>76</v>
      </c>
      <c r="E92" s="17">
        <v>59</v>
      </c>
      <c r="F92" s="17">
        <v>92</v>
      </c>
    </row>
    <row r="93" spans="1:6" x14ac:dyDescent="0.25">
      <c r="A93" s="14">
        <v>2021</v>
      </c>
      <c r="B93" s="14" t="s">
        <v>146</v>
      </c>
      <c r="C93" s="14" t="s">
        <v>147</v>
      </c>
      <c r="D93" s="17">
        <v>81</v>
      </c>
      <c r="E93" s="17">
        <v>64</v>
      </c>
      <c r="F93" s="17" t="s">
        <v>208</v>
      </c>
    </row>
    <row r="94" spans="1:6" x14ac:dyDescent="0.25">
      <c r="A94" s="14">
        <v>2022</v>
      </c>
      <c r="B94" s="14" t="s">
        <v>146</v>
      </c>
      <c r="C94" s="14" t="s">
        <v>147</v>
      </c>
      <c r="D94" s="17">
        <v>79</v>
      </c>
      <c r="E94" s="17">
        <v>61</v>
      </c>
      <c r="F94" s="17" t="s">
        <v>208</v>
      </c>
    </row>
    <row r="95" spans="1:6" x14ac:dyDescent="0.25">
      <c r="A95" s="14">
        <v>2023</v>
      </c>
      <c r="B95" s="14" t="s">
        <v>146</v>
      </c>
      <c r="C95" s="14" t="s">
        <v>147</v>
      </c>
      <c r="D95" s="17">
        <v>77</v>
      </c>
      <c r="E95" s="17">
        <v>60</v>
      </c>
      <c r="F95" s="17">
        <v>96</v>
      </c>
    </row>
    <row r="96" spans="1:6" x14ac:dyDescent="0.25">
      <c r="A96" s="14">
        <v>2024</v>
      </c>
      <c r="B96" s="14" t="s">
        <v>146</v>
      </c>
      <c r="C96" s="14" t="s">
        <v>147</v>
      </c>
      <c r="D96" s="17">
        <v>81</v>
      </c>
      <c r="E96" s="17">
        <v>62</v>
      </c>
      <c r="F96" s="17" t="s">
        <v>208</v>
      </c>
    </row>
    <row r="97" spans="1:6" x14ac:dyDescent="0.25">
      <c r="A97" s="14">
        <v>2010</v>
      </c>
      <c r="B97" s="14" t="s">
        <v>148</v>
      </c>
      <c r="C97" s="14" t="s">
        <v>149</v>
      </c>
      <c r="D97" s="17">
        <v>12</v>
      </c>
      <c r="E97" s="17">
        <v>9</v>
      </c>
      <c r="F97" s="17">
        <v>15</v>
      </c>
    </row>
    <row r="98" spans="1:6" x14ac:dyDescent="0.25">
      <c r="A98" s="14">
        <v>2011</v>
      </c>
      <c r="B98" s="14" t="s">
        <v>148</v>
      </c>
      <c r="C98" s="14" t="s">
        <v>149</v>
      </c>
      <c r="D98" s="17">
        <v>12</v>
      </c>
      <c r="E98" s="17">
        <v>9</v>
      </c>
      <c r="F98" s="17">
        <v>14</v>
      </c>
    </row>
    <row r="99" spans="1:6" x14ac:dyDescent="0.25">
      <c r="A99" s="14">
        <v>2012</v>
      </c>
      <c r="B99" s="14" t="s">
        <v>148</v>
      </c>
      <c r="C99" s="14" t="s">
        <v>149</v>
      </c>
      <c r="D99" s="17">
        <v>14</v>
      </c>
      <c r="E99" s="17">
        <v>11</v>
      </c>
      <c r="F99" s="17">
        <v>17</v>
      </c>
    </row>
    <row r="100" spans="1:6" x14ac:dyDescent="0.25">
      <c r="A100" s="14">
        <v>2013</v>
      </c>
      <c r="B100" s="14" t="s">
        <v>148</v>
      </c>
      <c r="C100" s="14" t="s">
        <v>149</v>
      </c>
      <c r="D100" s="17">
        <v>15</v>
      </c>
      <c r="E100" s="17">
        <v>12</v>
      </c>
      <c r="F100" s="17">
        <v>18</v>
      </c>
    </row>
    <row r="101" spans="1:6" x14ac:dyDescent="0.25">
      <c r="A101" s="14">
        <v>2014</v>
      </c>
      <c r="B101" s="14" t="s">
        <v>148</v>
      </c>
      <c r="C101" s="14" t="s">
        <v>149</v>
      </c>
      <c r="D101" s="17">
        <v>23</v>
      </c>
      <c r="E101" s="17">
        <v>18</v>
      </c>
      <c r="F101" s="17">
        <v>28</v>
      </c>
    </row>
    <row r="102" spans="1:6" x14ac:dyDescent="0.25">
      <c r="A102" s="14">
        <v>2015</v>
      </c>
      <c r="B102" s="14" t="s">
        <v>148</v>
      </c>
      <c r="C102" s="14" t="s">
        <v>149</v>
      </c>
      <c r="D102" s="17">
        <v>26</v>
      </c>
      <c r="E102" s="17">
        <v>21</v>
      </c>
      <c r="F102" s="17">
        <v>33</v>
      </c>
    </row>
    <row r="103" spans="1:6" x14ac:dyDescent="0.25">
      <c r="A103" s="14">
        <v>2016</v>
      </c>
      <c r="B103" s="14" t="s">
        <v>148</v>
      </c>
      <c r="C103" s="14" t="s">
        <v>149</v>
      </c>
      <c r="D103" s="17">
        <v>31</v>
      </c>
      <c r="E103" s="17">
        <v>25</v>
      </c>
      <c r="F103" s="17">
        <v>39</v>
      </c>
    </row>
    <row r="104" spans="1:6" x14ac:dyDescent="0.25">
      <c r="A104" s="14">
        <v>2017</v>
      </c>
      <c r="B104" s="14" t="s">
        <v>148</v>
      </c>
      <c r="C104" s="14" t="s">
        <v>149</v>
      </c>
      <c r="D104" s="17">
        <v>36</v>
      </c>
      <c r="E104" s="17">
        <v>29</v>
      </c>
      <c r="F104" s="17">
        <v>45</v>
      </c>
    </row>
    <row r="105" spans="1:6" x14ac:dyDescent="0.25">
      <c r="A105" s="14">
        <v>2018</v>
      </c>
      <c r="B105" s="14" t="s">
        <v>148</v>
      </c>
      <c r="C105" s="14" t="s">
        <v>149</v>
      </c>
      <c r="D105" s="17">
        <v>40</v>
      </c>
      <c r="E105" s="17">
        <v>31</v>
      </c>
      <c r="F105" s="17">
        <v>50</v>
      </c>
    </row>
    <row r="106" spans="1:6" x14ac:dyDescent="0.25">
      <c r="A106" s="14">
        <v>2019</v>
      </c>
      <c r="B106" s="14" t="s">
        <v>148</v>
      </c>
      <c r="C106" s="14" t="s">
        <v>149</v>
      </c>
      <c r="D106" s="17">
        <v>47</v>
      </c>
      <c r="E106" s="17">
        <v>38</v>
      </c>
      <c r="F106" s="17">
        <v>60</v>
      </c>
    </row>
    <row r="107" spans="1:6" x14ac:dyDescent="0.25">
      <c r="A107" s="14">
        <v>2020</v>
      </c>
      <c r="B107" s="14" t="s">
        <v>148</v>
      </c>
      <c r="C107" s="14" t="s">
        <v>149</v>
      </c>
      <c r="D107" s="17">
        <v>51</v>
      </c>
      <c r="E107" s="17">
        <v>40</v>
      </c>
      <c r="F107" s="17">
        <v>66</v>
      </c>
    </row>
    <row r="108" spans="1:6" x14ac:dyDescent="0.25">
      <c r="A108" s="14">
        <v>2021</v>
      </c>
      <c r="B108" s="14" t="s">
        <v>148</v>
      </c>
      <c r="C108" s="14" t="s">
        <v>149</v>
      </c>
      <c r="D108" s="17">
        <v>57</v>
      </c>
      <c r="E108" s="17">
        <v>45</v>
      </c>
      <c r="F108" s="17">
        <v>74</v>
      </c>
    </row>
    <row r="109" spans="1:6" x14ac:dyDescent="0.25">
      <c r="A109" s="14">
        <v>2022</v>
      </c>
      <c r="B109" s="14" t="s">
        <v>148</v>
      </c>
      <c r="C109" s="14" t="s">
        <v>149</v>
      </c>
      <c r="D109" s="17">
        <v>62</v>
      </c>
      <c r="E109" s="17">
        <v>48</v>
      </c>
      <c r="F109" s="17">
        <v>82</v>
      </c>
    </row>
    <row r="110" spans="1:6" x14ac:dyDescent="0.25">
      <c r="A110" s="14">
        <v>2023</v>
      </c>
      <c r="B110" s="14" t="s">
        <v>148</v>
      </c>
      <c r="C110" s="14" t="s">
        <v>149</v>
      </c>
      <c r="D110" s="17">
        <v>66</v>
      </c>
      <c r="E110" s="17">
        <v>50</v>
      </c>
      <c r="F110" s="17">
        <v>87</v>
      </c>
    </row>
    <row r="111" spans="1:6" x14ac:dyDescent="0.25">
      <c r="A111" s="14">
        <v>2024</v>
      </c>
      <c r="B111" s="14" t="s">
        <v>148</v>
      </c>
      <c r="C111" s="14" t="s">
        <v>149</v>
      </c>
      <c r="D111" s="17">
        <v>69</v>
      </c>
      <c r="E111" s="17">
        <v>51</v>
      </c>
      <c r="F111" s="17">
        <v>92</v>
      </c>
    </row>
    <row r="112" spans="1:6" x14ac:dyDescent="0.25">
      <c r="A112" s="14">
        <v>2010</v>
      </c>
      <c r="B112" s="14" t="s">
        <v>150</v>
      </c>
      <c r="C112" s="14" t="s">
        <v>151</v>
      </c>
      <c r="D112" s="17">
        <v>18</v>
      </c>
      <c r="E112" s="17">
        <v>14</v>
      </c>
      <c r="F112" s="17">
        <v>23</v>
      </c>
    </row>
    <row r="113" spans="1:6" x14ac:dyDescent="0.25">
      <c r="A113" s="14">
        <v>2011</v>
      </c>
      <c r="B113" s="14" t="s">
        <v>150</v>
      </c>
      <c r="C113" s="14" t="s">
        <v>151</v>
      </c>
      <c r="D113" s="17">
        <v>21</v>
      </c>
      <c r="E113" s="17">
        <v>16</v>
      </c>
      <c r="F113" s="17">
        <v>27</v>
      </c>
    </row>
    <row r="114" spans="1:6" x14ac:dyDescent="0.25">
      <c r="A114" s="14">
        <v>2012</v>
      </c>
      <c r="B114" s="14" t="s">
        <v>150</v>
      </c>
      <c r="C114" s="14" t="s">
        <v>151</v>
      </c>
      <c r="D114" s="17">
        <v>24</v>
      </c>
      <c r="E114" s="17">
        <v>19</v>
      </c>
      <c r="F114" s="17">
        <v>31</v>
      </c>
    </row>
    <row r="115" spans="1:6" x14ac:dyDescent="0.25">
      <c r="A115" s="14">
        <v>2013</v>
      </c>
      <c r="B115" s="14" t="s">
        <v>150</v>
      </c>
      <c r="C115" s="14" t="s">
        <v>151</v>
      </c>
      <c r="D115" s="17">
        <v>28</v>
      </c>
      <c r="E115" s="17">
        <v>21</v>
      </c>
      <c r="F115" s="17">
        <v>35</v>
      </c>
    </row>
    <row r="116" spans="1:6" x14ac:dyDescent="0.25">
      <c r="A116" s="14">
        <v>2014</v>
      </c>
      <c r="B116" s="14" t="s">
        <v>150</v>
      </c>
      <c r="C116" s="14" t="s">
        <v>151</v>
      </c>
      <c r="D116" s="17">
        <v>31</v>
      </c>
      <c r="E116" s="17">
        <v>24</v>
      </c>
      <c r="F116" s="17">
        <v>39</v>
      </c>
    </row>
    <row r="117" spans="1:6" x14ac:dyDescent="0.25">
      <c r="A117" s="14">
        <v>2015</v>
      </c>
      <c r="B117" s="14" t="s">
        <v>150</v>
      </c>
      <c r="C117" s="14" t="s">
        <v>151</v>
      </c>
      <c r="D117" s="17">
        <v>34</v>
      </c>
      <c r="E117" s="17">
        <v>27</v>
      </c>
      <c r="F117" s="17">
        <v>43</v>
      </c>
    </row>
    <row r="118" spans="1:6" x14ac:dyDescent="0.25">
      <c r="A118" s="14">
        <v>2016</v>
      </c>
      <c r="B118" s="14" t="s">
        <v>150</v>
      </c>
      <c r="C118" s="14" t="s">
        <v>151</v>
      </c>
      <c r="D118" s="17">
        <v>38</v>
      </c>
      <c r="E118" s="17">
        <v>29</v>
      </c>
      <c r="F118" s="17">
        <v>47</v>
      </c>
    </row>
    <row r="119" spans="1:6" x14ac:dyDescent="0.25">
      <c r="A119" s="14">
        <v>2017</v>
      </c>
      <c r="B119" s="14" t="s">
        <v>150</v>
      </c>
      <c r="C119" s="14" t="s">
        <v>151</v>
      </c>
      <c r="D119" s="17">
        <v>41</v>
      </c>
      <c r="E119" s="17">
        <v>32</v>
      </c>
      <c r="F119" s="17">
        <v>51</v>
      </c>
    </row>
    <row r="120" spans="1:6" x14ac:dyDescent="0.25">
      <c r="A120" s="14">
        <v>2018</v>
      </c>
      <c r="B120" s="14" t="s">
        <v>150</v>
      </c>
      <c r="C120" s="14" t="s">
        <v>151</v>
      </c>
      <c r="D120" s="17">
        <v>44</v>
      </c>
      <c r="E120" s="17">
        <v>35</v>
      </c>
      <c r="F120" s="17">
        <v>55</v>
      </c>
    </row>
    <row r="121" spans="1:6" x14ac:dyDescent="0.25">
      <c r="A121" s="14">
        <v>2019</v>
      </c>
      <c r="B121" s="14" t="s">
        <v>150</v>
      </c>
      <c r="C121" s="14" t="s">
        <v>151</v>
      </c>
      <c r="D121" s="17">
        <v>47</v>
      </c>
      <c r="E121" s="17">
        <v>37</v>
      </c>
      <c r="F121" s="17">
        <v>58</v>
      </c>
    </row>
    <row r="122" spans="1:6" x14ac:dyDescent="0.25">
      <c r="A122" s="14">
        <v>2020</v>
      </c>
      <c r="B122" s="14" t="s">
        <v>150</v>
      </c>
      <c r="C122" s="14" t="s">
        <v>151</v>
      </c>
      <c r="D122" s="17">
        <v>52</v>
      </c>
      <c r="E122" s="17">
        <v>41</v>
      </c>
      <c r="F122" s="17">
        <v>63</v>
      </c>
    </row>
    <row r="123" spans="1:6" x14ac:dyDescent="0.25">
      <c r="A123" s="14">
        <v>2021</v>
      </c>
      <c r="B123" s="14" t="s">
        <v>150</v>
      </c>
      <c r="C123" s="14" t="s">
        <v>151</v>
      </c>
      <c r="D123" s="17">
        <v>56</v>
      </c>
      <c r="E123" s="17">
        <v>45</v>
      </c>
      <c r="F123" s="17">
        <v>69</v>
      </c>
    </row>
    <row r="124" spans="1:6" x14ac:dyDescent="0.25">
      <c r="A124" s="14">
        <v>2022</v>
      </c>
      <c r="B124" s="14" t="s">
        <v>150</v>
      </c>
      <c r="C124" s="14" t="s">
        <v>151</v>
      </c>
      <c r="D124" s="17">
        <v>59</v>
      </c>
      <c r="E124" s="17">
        <v>47</v>
      </c>
      <c r="F124" s="17">
        <v>72</v>
      </c>
    </row>
    <row r="125" spans="1:6" x14ac:dyDescent="0.25">
      <c r="A125" s="14">
        <v>2023</v>
      </c>
      <c r="B125" s="14" t="s">
        <v>150</v>
      </c>
      <c r="C125" s="14" t="s">
        <v>151</v>
      </c>
      <c r="D125" s="17">
        <v>62</v>
      </c>
      <c r="E125" s="17">
        <v>50</v>
      </c>
      <c r="F125" s="17">
        <v>77</v>
      </c>
    </row>
    <row r="126" spans="1:6" x14ac:dyDescent="0.25">
      <c r="A126" s="14">
        <v>2024</v>
      </c>
      <c r="B126" s="14" t="s">
        <v>150</v>
      </c>
      <c r="C126" s="14" t="s">
        <v>151</v>
      </c>
      <c r="D126" s="17">
        <v>70</v>
      </c>
      <c r="E126" s="17">
        <v>56</v>
      </c>
      <c r="F126" s="17">
        <v>86</v>
      </c>
    </row>
    <row r="127" spans="1:6" x14ac:dyDescent="0.25">
      <c r="A127" s="14">
        <v>2010</v>
      </c>
      <c r="B127" s="14" t="s">
        <v>152</v>
      </c>
      <c r="C127" s="14" t="s">
        <v>153</v>
      </c>
      <c r="D127" s="17">
        <v>16</v>
      </c>
      <c r="E127" s="17">
        <v>13</v>
      </c>
      <c r="F127" s="17">
        <v>20</v>
      </c>
    </row>
    <row r="128" spans="1:6" x14ac:dyDescent="0.25">
      <c r="A128" s="14">
        <v>2011</v>
      </c>
      <c r="B128" s="14" t="s">
        <v>152</v>
      </c>
      <c r="C128" s="14" t="s">
        <v>153</v>
      </c>
      <c r="D128" s="17">
        <v>18</v>
      </c>
      <c r="E128" s="17">
        <v>15</v>
      </c>
      <c r="F128" s="17">
        <v>22</v>
      </c>
    </row>
    <row r="129" spans="1:6" x14ac:dyDescent="0.25">
      <c r="A129" s="14">
        <v>2012</v>
      </c>
      <c r="B129" s="14" t="s">
        <v>152</v>
      </c>
      <c r="C129" s="14" t="s">
        <v>153</v>
      </c>
      <c r="D129" s="17">
        <v>18</v>
      </c>
      <c r="E129" s="17">
        <v>15</v>
      </c>
      <c r="F129" s="17">
        <v>23</v>
      </c>
    </row>
    <row r="130" spans="1:6" x14ac:dyDescent="0.25">
      <c r="A130" s="14">
        <v>2013</v>
      </c>
      <c r="B130" s="14" t="s">
        <v>152</v>
      </c>
      <c r="C130" s="14" t="s">
        <v>153</v>
      </c>
      <c r="D130" s="17">
        <v>21</v>
      </c>
      <c r="E130" s="17">
        <v>17</v>
      </c>
      <c r="F130" s="17">
        <v>26</v>
      </c>
    </row>
    <row r="131" spans="1:6" x14ac:dyDescent="0.25">
      <c r="A131" s="14">
        <v>2014</v>
      </c>
      <c r="B131" s="14" t="s">
        <v>152</v>
      </c>
      <c r="C131" s="14" t="s">
        <v>153</v>
      </c>
      <c r="D131" s="17">
        <v>20</v>
      </c>
      <c r="E131" s="17">
        <v>16</v>
      </c>
      <c r="F131" s="17">
        <v>25</v>
      </c>
    </row>
    <row r="132" spans="1:6" x14ac:dyDescent="0.25">
      <c r="A132" s="14">
        <v>2015</v>
      </c>
      <c r="B132" s="14" t="s">
        <v>152</v>
      </c>
      <c r="C132" s="14" t="s">
        <v>153</v>
      </c>
      <c r="D132" s="17">
        <v>21</v>
      </c>
      <c r="E132" s="17">
        <v>17</v>
      </c>
      <c r="F132" s="17">
        <v>27</v>
      </c>
    </row>
    <row r="133" spans="1:6" x14ac:dyDescent="0.25">
      <c r="A133" s="14">
        <v>2016</v>
      </c>
      <c r="B133" s="14" t="s">
        <v>152</v>
      </c>
      <c r="C133" s="14" t="s">
        <v>153</v>
      </c>
      <c r="D133" s="17">
        <v>22</v>
      </c>
      <c r="E133" s="17">
        <v>18</v>
      </c>
      <c r="F133" s="17">
        <v>29</v>
      </c>
    </row>
    <row r="134" spans="1:6" x14ac:dyDescent="0.25">
      <c r="A134" s="14">
        <v>2017</v>
      </c>
      <c r="B134" s="14" t="s">
        <v>152</v>
      </c>
      <c r="C134" s="14" t="s">
        <v>153</v>
      </c>
      <c r="D134" s="17">
        <v>23</v>
      </c>
      <c r="E134" s="17">
        <v>18</v>
      </c>
      <c r="F134" s="17">
        <v>30</v>
      </c>
    </row>
    <row r="135" spans="1:6" x14ac:dyDescent="0.25">
      <c r="A135" s="14">
        <v>2018</v>
      </c>
      <c r="B135" s="14" t="s">
        <v>152</v>
      </c>
      <c r="C135" s="14" t="s">
        <v>153</v>
      </c>
      <c r="D135" s="17">
        <v>24</v>
      </c>
      <c r="E135" s="17">
        <v>19</v>
      </c>
      <c r="F135" s="17">
        <v>32</v>
      </c>
    </row>
    <row r="136" spans="1:6" x14ac:dyDescent="0.25">
      <c r="A136" s="14">
        <v>2019</v>
      </c>
      <c r="B136" s="14" t="s">
        <v>152</v>
      </c>
      <c r="C136" s="14" t="s">
        <v>153</v>
      </c>
      <c r="D136" s="17">
        <v>24</v>
      </c>
      <c r="E136" s="17">
        <v>19</v>
      </c>
      <c r="F136" s="17">
        <v>33</v>
      </c>
    </row>
    <row r="137" spans="1:6" x14ac:dyDescent="0.25">
      <c r="A137" s="14">
        <v>2020</v>
      </c>
      <c r="B137" s="14" t="s">
        <v>152</v>
      </c>
      <c r="C137" s="14" t="s">
        <v>153</v>
      </c>
      <c r="D137" s="17">
        <v>25</v>
      </c>
      <c r="E137" s="17">
        <v>19</v>
      </c>
      <c r="F137" s="17">
        <v>34</v>
      </c>
    </row>
    <row r="138" spans="1:6" x14ac:dyDescent="0.25">
      <c r="A138" s="14">
        <v>2021</v>
      </c>
      <c r="B138" s="14" t="s">
        <v>152</v>
      </c>
      <c r="C138" s="14" t="s">
        <v>153</v>
      </c>
      <c r="D138" s="17">
        <v>26</v>
      </c>
      <c r="E138" s="17">
        <v>19</v>
      </c>
      <c r="F138" s="17">
        <v>36</v>
      </c>
    </row>
    <row r="139" spans="1:6" x14ac:dyDescent="0.25">
      <c r="A139" s="14">
        <v>2022</v>
      </c>
      <c r="B139" s="14" t="s">
        <v>152</v>
      </c>
      <c r="C139" s="14" t="s">
        <v>153</v>
      </c>
      <c r="D139" s="17">
        <v>29</v>
      </c>
      <c r="E139" s="17">
        <v>21</v>
      </c>
      <c r="F139" s="17">
        <v>40</v>
      </c>
    </row>
    <row r="140" spans="1:6" x14ac:dyDescent="0.25">
      <c r="A140" s="14">
        <v>2023</v>
      </c>
      <c r="B140" s="14" t="s">
        <v>152</v>
      </c>
      <c r="C140" s="14" t="s">
        <v>153</v>
      </c>
      <c r="D140" s="17">
        <v>31</v>
      </c>
      <c r="E140" s="17">
        <v>23</v>
      </c>
      <c r="F140" s="17">
        <v>44</v>
      </c>
    </row>
    <row r="141" spans="1:6" x14ac:dyDescent="0.25">
      <c r="A141" s="14">
        <v>2024</v>
      </c>
      <c r="B141" s="14" t="s">
        <v>152</v>
      </c>
      <c r="C141" s="14" t="s">
        <v>153</v>
      </c>
      <c r="D141" s="17">
        <v>35</v>
      </c>
      <c r="E141" s="17">
        <v>25</v>
      </c>
      <c r="F141" s="17">
        <v>50</v>
      </c>
    </row>
    <row r="142" spans="1:6" x14ac:dyDescent="0.25">
      <c r="A142" s="14">
        <v>2010</v>
      </c>
      <c r="B142" s="14" t="s">
        <v>155</v>
      </c>
      <c r="C142" s="14" t="s">
        <v>156</v>
      </c>
      <c r="D142" s="17">
        <v>17</v>
      </c>
      <c r="E142" s="17">
        <v>13</v>
      </c>
      <c r="F142" s="17">
        <v>20</v>
      </c>
    </row>
    <row r="143" spans="1:6" x14ac:dyDescent="0.25">
      <c r="A143" s="14">
        <v>2011</v>
      </c>
      <c r="B143" s="14" t="s">
        <v>155</v>
      </c>
      <c r="C143" s="14" t="s">
        <v>156</v>
      </c>
      <c r="D143" s="17">
        <v>20</v>
      </c>
      <c r="E143" s="17">
        <v>17</v>
      </c>
      <c r="F143" s="17">
        <v>25</v>
      </c>
    </row>
    <row r="144" spans="1:6" x14ac:dyDescent="0.25">
      <c r="A144" s="14">
        <v>2012</v>
      </c>
      <c r="B144" s="14" t="s">
        <v>155</v>
      </c>
      <c r="C144" s="14" t="s">
        <v>156</v>
      </c>
      <c r="D144" s="17">
        <v>23</v>
      </c>
      <c r="E144" s="17">
        <v>19</v>
      </c>
      <c r="F144" s="17">
        <v>28</v>
      </c>
    </row>
    <row r="145" spans="1:6" x14ac:dyDescent="0.25">
      <c r="A145" s="14">
        <v>2013</v>
      </c>
      <c r="B145" s="14" t="s">
        <v>155</v>
      </c>
      <c r="C145" s="14" t="s">
        <v>156</v>
      </c>
      <c r="D145" s="17">
        <v>26</v>
      </c>
      <c r="E145" s="17">
        <v>21</v>
      </c>
      <c r="F145" s="17">
        <v>31</v>
      </c>
    </row>
    <row r="146" spans="1:6" x14ac:dyDescent="0.25">
      <c r="A146" s="14">
        <v>2014</v>
      </c>
      <c r="B146" s="14" t="s">
        <v>155</v>
      </c>
      <c r="C146" s="14" t="s">
        <v>156</v>
      </c>
      <c r="D146" s="17">
        <v>31</v>
      </c>
      <c r="E146" s="17">
        <v>25</v>
      </c>
      <c r="F146" s="17">
        <v>37</v>
      </c>
    </row>
    <row r="147" spans="1:6" x14ac:dyDescent="0.25">
      <c r="A147" s="14">
        <v>2015</v>
      </c>
      <c r="B147" s="14" t="s">
        <v>155</v>
      </c>
      <c r="C147" s="14" t="s">
        <v>156</v>
      </c>
      <c r="D147" s="17">
        <v>35</v>
      </c>
      <c r="E147" s="17">
        <v>29</v>
      </c>
      <c r="F147" s="17">
        <v>43</v>
      </c>
    </row>
    <row r="148" spans="1:6" x14ac:dyDescent="0.25">
      <c r="A148" s="14">
        <v>2016</v>
      </c>
      <c r="B148" s="14" t="s">
        <v>155</v>
      </c>
      <c r="C148" s="14" t="s">
        <v>156</v>
      </c>
      <c r="D148" s="17">
        <v>43</v>
      </c>
      <c r="E148" s="17">
        <v>35</v>
      </c>
      <c r="F148" s="17">
        <v>52</v>
      </c>
    </row>
    <row r="149" spans="1:6" x14ac:dyDescent="0.25">
      <c r="A149" s="14">
        <v>2017</v>
      </c>
      <c r="B149" s="14" t="s">
        <v>155</v>
      </c>
      <c r="C149" s="14" t="s">
        <v>156</v>
      </c>
      <c r="D149" s="17">
        <v>52</v>
      </c>
      <c r="E149" s="17">
        <v>43</v>
      </c>
      <c r="F149" s="17">
        <v>63</v>
      </c>
    </row>
    <row r="150" spans="1:6" x14ac:dyDescent="0.25">
      <c r="A150" s="14">
        <v>2018</v>
      </c>
      <c r="B150" s="14" t="s">
        <v>155</v>
      </c>
      <c r="C150" s="14" t="s">
        <v>156</v>
      </c>
      <c r="D150" s="17">
        <v>59</v>
      </c>
      <c r="E150" s="17">
        <v>48</v>
      </c>
      <c r="F150" s="17">
        <v>70</v>
      </c>
    </row>
    <row r="151" spans="1:6" x14ac:dyDescent="0.25">
      <c r="A151" s="14">
        <v>2019</v>
      </c>
      <c r="B151" s="14" t="s">
        <v>155</v>
      </c>
      <c r="C151" s="14" t="s">
        <v>156</v>
      </c>
      <c r="D151" s="17">
        <v>64</v>
      </c>
      <c r="E151" s="17">
        <v>52</v>
      </c>
      <c r="F151" s="17">
        <v>76</v>
      </c>
    </row>
    <row r="152" spans="1:6" x14ac:dyDescent="0.25">
      <c r="A152" s="14">
        <v>2020</v>
      </c>
      <c r="B152" s="14" t="s">
        <v>155</v>
      </c>
      <c r="C152" s="14" t="s">
        <v>156</v>
      </c>
      <c r="D152" s="17">
        <v>67</v>
      </c>
      <c r="E152" s="17">
        <v>55</v>
      </c>
      <c r="F152" s="17">
        <v>80</v>
      </c>
    </row>
    <row r="153" spans="1:6" x14ac:dyDescent="0.25">
      <c r="A153" s="14">
        <v>2021</v>
      </c>
      <c r="B153" s="14" t="s">
        <v>155</v>
      </c>
      <c r="C153" s="14" t="s">
        <v>156</v>
      </c>
      <c r="D153" s="17">
        <v>70</v>
      </c>
      <c r="E153" s="17">
        <v>57</v>
      </c>
      <c r="F153" s="17">
        <v>83</v>
      </c>
    </row>
    <row r="154" spans="1:6" x14ac:dyDescent="0.25">
      <c r="A154" s="14">
        <v>2022</v>
      </c>
      <c r="B154" s="14" t="s">
        <v>155</v>
      </c>
      <c r="C154" s="14" t="s">
        <v>156</v>
      </c>
      <c r="D154" s="17">
        <v>71</v>
      </c>
      <c r="E154" s="17">
        <v>58</v>
      </c>
      <c r="F154" s="17">
        <v>86</v>
      </c>
    </row>
    <row r="155" spans="1:6" x14ac:dyDescent="0.25">
      <c r="A155" s="14">
        <v>2023</v>
      </c>
      <c r="B155" s="14" t="s">
        <v>155</v>
      </c>
      <c r="C155" s="14" t="s">
        <v>156</v>
      </c>
      <c r="D155" s="17">
        <v>75</v>
      </c>
      <c r="E155" s="17">
        <v>61</v>
      </c>
      <c r="F155" s="17">
        <v>91</v>
      </c>
    </row>
    <row r="156" spans="1:6" x14ac:dyDescent="0.25">
      <c r="A156" s="14">
        <v>2024</v>
      </c>
      <c r="B156" s="14" t="s">
        <v>155</v>
      </c>
      <c r="C156" s="14" t="s">
        <v>156</v>
      </c>
      <c r="D156" s="17">
        <v>79</v>
      </c>
      <c r="E156" s="17">
        <v>65</v>
      </c>
      <c r="F156" s="17">
        <v>96</v>
      </c>
    </row>
    <row r="157" spans="1:6" x14ac:dyDescent="0.25">
      <c r="A157" s="14">
        <v>2010</v>
      </c>
      <c r="B157" s="14" t="s">
        <v>157</v>
      </c>
      <c r="C157" s="14" t="s">
        <v>158</v>
      </c>
      <c r="D157" s="17">
        <v>8</v>
      </c>
      <c r="E157" s="17">
        <v>6</v>
      </c>
      <c r="F157" s="17">
        <v>10</v>
      </c>
    </row>
    <row r="158" spans="1:6" x14ac:dyDescent="0.25">
      <c r="A158" s="14">
        <v>2011</v>
      </c>
      <c r="B158" s="14" t="s">
        <v>157</v>
      </c>
      <c r="C158" s="14" t="s">
        <v>158</v>
      </c>
      <c r="D158" s="17">
        <v>9</v>
      </c>
      <c r="E158" s="17">
        <v>7</v>
      </c>
      <c r="F158" s="17">
        <v>11</v>
      </c>
    </row>
    <row r="159" spans="1:6" x14ac:dyDescent="0.25">
      <c r="A159" s="14">
        <v>2012</v>
      </c>
      <c r="B159" s="14" t="s">
        <v>157</v>
      </c>
      <c r="C159" s="14" t="s">
        <v>158</v>
      </c>
      <c r="D159" s="17">
        <v>12</v>
      </c>
      <c r="E159" s="17">
        <v>9</v>
      </c>
      <c r="F159" s="17">
        <v>15</v>
      </c>
    </row>
    <row r="160" spans="1:6" x14ac:dyDescent="0.25">
      <c r="A160" s="14">
        <v>2013</v>
      </c>
      <c r="B160" s="14" t="s">
        <v>157</v>
      </c>
      <c r="C160" s="14" t="s">
        <v>158</v>
      </c>
      <c r="D160" s="17">
        <v>15</v>
      </c>
      <c r="E160" s="17">
        <v>11</v>
      </c>
      <c r="F160" s="17">
        <v>18</v>
      </c>
    </row>
    <row r="161" spans="1:6" x14ac:dyDescent="0.25">
      <c r="A161" s="14">
        <v>2014</v>
      </c>
      <c r="B161" s="14" t="s">
        <v>157</v>
      </c>
      <c r="C161" s="14" t="s">
        <v>158</v>
      </c>
      <c r="D161" s="17">
        <v>18</v>
      </c>
      <c r="E161" s="17">
        <v>14</v>
      </c>
      <c r="F161" s="17">
        <v>23</v>
      </c>
    </row>
    <row r="162" spans="1:6" x14ac:dyDescent="0.25">
      <c r="A162" s="14">
        <v>2015</v>
      </c>
      <c r="B162" s="14" t="s">
        <v>157</v>
      </c>
      <c r="C162" s="14" t="s">
        <v>158</v>
      </c>
      <c r="D162" s="17">
        <v>22</v>
      </c>
      <c r="E162" s="17">
        <v>17</v>
      </c>
      <c r="F162" s="17">
        <v>27</v>
      </c>
    </row>
    <row r="163" spans="1:6" x14ac:dyDescent="0.25">
      <c r="A163" s="14">
        <v>2016</v>
      </c>
      <c r="B163" s="14" t="s">
        <v>157</v>
      </c>
      <c r="C163" s="14" t="s">
        <v>158</v>
      </c>
      <c r="D163" s="17">
        <v>29</v>
      </c>
      <c r="E163" s="17">
        <v>22</v>
      </c>
      <c r="F163" s="17">
        <v>35</v>
      </c>
    </row>
    <row r="164" spans="1:6" x14ac:dyDescent="0.25">
      <c r="A164" s="14">
        <v>2017</v>
      </c>
      <c r="B164" s="14" t="s">
        <v>157</v>
      </c>
      <c r="C164" s="14" t="s">
        <v>158</v>
      </c>
      <c r="D164" s="17">
        <v>39</v>
      </c>
      <c r="E164" s="17">
        <v>31</v>
      </c>
      <c r="F164" s="17">
        <v>48</v>
      </c>
    </row>
    <row r="165" spans="1:6" x14ac:dyDescent="0.25">
      <c r="A165" s="14">
        <v>2018</v>
      </c>
      <c r="B165" s="14" t="s">
        <v>157</v>
      </c>
      <c r="C165" s="14" t="s">
        <v>158</v>
      </c>
      <c r="D165" s="17">
        <v>38</v>
      </c>
      <c r="E165" s="17">
        <v>30</v>
      </c>
      <c r="F165" s="17">
        <v>47</v>
      </c>
    </row>
    <row r="166" spans="1:6" x14ac:dyDescent="0.25">
      <c r="A166" s="14">
        <v>2019</v>
      </c>
      <c r="B166" s="14" t="s">
        <v>157</v>
      </c>
      <c r="C166" s="14" t="s">
        <v>158</v>
      </c>
      <c r="D166" s="17">
        <v>42</v>
      </c>
      <c r="E166" s="17">
        <v>33</v>
      </c>
      <c r="F166" s="17">
        <v>52</v>
      </c>
    </row>
    <row r="167" spans="1:6" x14ac:dyDescent="0.25">
      <c r="A167" s="14">
        <v>2020</v>
      </c>
      <c r="B167" s="14" t="s">
        <v>157</v>
      </c>
      <c r="C167" s="14" t="s">
        <v>158</v>
      </c>
      <c r="D167" s="17">
        <v>55</v>
      </c>
      <c r="E167" s="17">
        <v>43</v>
      </c>
      <c r="F167" s="17">
        <v>68</v>
      </c>
    </row>
    <row r="168" spans="1:6" x14ac:dyDescent="0.25">
      <c r="A168" s="14">
        <v>2021</v>
      </c>
      <c r="B168" s="14" t="s">
        <v>157</v>
      </c>
      <c r="C168" s="14" t="s">
        <v>158</v>
      </c>
      <c r="D168" s="17">
        <v>65</v>
      </c>
      <c r="E168" s="17">
        <v>50</v>
      </c>
      <c r="F168" s="17">
        <v>80</v>
      </c>
    </row>
    <row r="169" spans="1:6" x14ac:dyDescent="0.25">
      <c r="A169" s="14">
        <v>2022</v>
      </c>
      <c r="B169" s="14" t="s">
        <v>157</v>
      </c>
      <c r="C169" s="14" t="s">
        <v>158</v>
      </c>
      <c r="D169" s="17">
        <v>71</v>
      </c>
      <c r="E169" s="17">
        <v>54</v>
      </c>
      <c r="F169" s="17">
        <v>87</v>
      </c>
    </row>
    <row r="170" spans="1:6" x14ac:dyDescent="0.25">
      <c r="A170" s="14">
        <v>2023</v>
      </c>
      <c r="B170" s="14" t="s">
        <v>157</v>
      </c>
      <c r="C170" s="14" t="s">
        <v>158</v>
      </c>
      <c r="D170" s="17">
        <v>79</v>
      </c>
      <c r="E170" s="17">
        <v>60</v>
      </c>
      <c r="F170" s="17">
        <v>98</v>
      </c>
    </row>
    <row r="171" spans="1:6" x14ac:dyDescent="0.25">
      <c r="A171" s="14">
        <v>2024</v>
      </c>
      <c r="B171" s="14" t="s">
        <v>157</v>
      </c>
      <c r="C171" s="14" t="s">
        <v>158</v>
      </c>
      <c r="D171" s="17">
        <v>76</v>
      </c>
      <c r="E171" s="17">
        <v>57</v>
      </c>
      <c r="F171" s="17">
        <v>96</v>
      </c>
    </row>
    <row r="172" spans="1:6" x14ac:dyDescent="0.25">
      <c r="A172" s="14">
        <v>2010</v>
      </c>
      <c r="B172" s="14" t="s">
        <v>162</v>
      </c>
      <c r="C172" s="14" t="s">
        <v>163</v>
      </c>
      <c r="D172" s="17" t="s">
        <v>33</v>
      </c>
      <c r="E172" s="17" t="s">
        <v>33</v>
      </c>
      <c r="F172" s="17" t="s">
        <v>33</v>
      </c>
    </row>
    <row r="173" spans="1:6" x14ac:dyDescent="0.25">
      <c r="A173" s="14">
        <v>2011</v>
      </c>
      <c r="B173" s="14" t="s">
        <v>162</v>
      </c>
      <c r="C173" s="14" t="s">
        <v>163</v>
      </c>
      <c r="D173" s="17" t="s">
        <v>33</v>
      </c>
      <c r="E173" s="17" t="s">
        <v>33</v>
      </c>
      <c r="F173" s="17" t="s">
        <v>33</v>
      </c>
    </row>
    <row r="174" spans="1:6" x14ac:dyDescent="0.25">
      <c r="A174" s="14">
        <v>2012</v>
      </c>
      <c r="B174" s="14" t="s">
        <v>162</v>
      </c>
      <c r="C174" s="14" t="s">
        <v>163</v>
      </c>
      <c r="D174" s="17" t="s">
        <v>33</v>
      </c>
      <c r="E174" s="17" t="s">
        <v>33</v>
      </c>
      <c r="F174" s="17" t="s">
        <v>33</v>
      </c>
    </row>
    <row r="175" spans="1:6" x14ac:dyDescent="0.25">
      <c r="A175" s="14">
        <v>2013</v>
      </c>
      <c r="B175" s="14" t="s">
        <v>162</v>
      </c>
      <c r="C175" s="14" t="s">
        <v>163</v>
      </c>
      <c r="D175" s="17" t="s">
        <v>33</v>
      </c>
      <c r="E175" s="17" t="s">
        <v>33</v>
      </c>
      <c r="F175" s="17" t="s">
        <v>33</v>
      </c>
    </row>
    <row r="176" spans="1:6" x14ac:dyDescent="0.25">
      <c r="A176" s="14">
        <v>2014</v>
      </c>
      <c r="B176" s="14" t="s">
        <v>162</v>
      </c>
      <c r="C176" s="14" t="s">
        <v>163</v>
      </c>
      <c r="D176" s="17" t="s">
        <v>33</v>
      </c>
      <c r="E176" s="17" t="s">
        <v>33</v>
      </c>
      <c r="F176" s="17" t="s">
        <v>33</v>
      </c>
    </row>
    <row r="177" spans="1:6" x14ac:dyDescent="0.25">
      <c r="A177" s="14">
        <v>2015</v>
      </c>
      <c r="B177" s="14" t="s">
        <v>162</v>
      </c>
      <c r="C177" s="14" t="s">
        <v>163</v>
      </c>
      <c r="D177" s="17" t="s">
        <v>33</v>
      </c>
      <c r="E177" s="17" t="s">
        <v>33</v>
      </c>
      <c r="F177" s="17" t="s">
        <v>33</v>
      </c>
    </row>
    <row r="178" spans="1:6" x14ac:dyDescent="0.25">
      <c r="A178" s="14">
        <v>2016</v>
      </c>
      <c r="B178" s="14" t="s">
        <v>162</v>
      </c>
      <c r="C178" s="14" t="s">
        <v>163</v>
      </c>
      <c r="D178" s="17" t="s">
        <v>33</v>
      </c>
      <c r="E178" s="17" t="s">
        <v>33</v>
      </c>
      <c r="F178" s="17" t="s">
        <v>33</v>
      </c>
    </row>
    <row r="179" spans="1:6" x14ac:dyDescent="0.25">
      <c r="A179" s="14">
        <v>2017</v>
      </c>
      <c r="B179" s="14" t="s">
        <v>162</v>
      </c>
      <c r="C179" s="14" t="s">
        <v>163</v>
      </c>
      <c r="D179" s="17" t="s">
        <v>33</v>
      </c>
      <c r="E179" s="17" t="s">
        <v>33</v>
      </c>
      <c r="F179" s="17" t="s">
        <v>33</v>
      </c>
    </row>
    <row r="180" spans="1:6" x14ac:dyDescent="0.25">
      <c r="A180" s="14">
        <v>2018</v>
      </c>
      <c r="B180" s="14" t="s">
        <v>162</v>
      </c>
      <c r="C180" s="14" t="s">
        <v>163</v>
      </c>
      <c r="D180" s="17" t="s">
        <v>33</v>
      </c>
      <c r="E180" s="17" t="s">
        <v>33</v>
      </c>
      <c r="F180" s="17" t="s">
        <v>33</v>
      </c>
    </row>
    <row r="181" spans="1:6" x14ac:dyDescent="0.25">
      <c r="A181" s="14">
        <v>2019</v>
      </c>
      <c r="B181" s="14" t="s">
        <v>162</v>
      </c>
      <c r="C181" s="14" t="s">
        <v>163</v>
      </c>
      <c r="D181" s="17" t="s">
        <v>33</v>
      </c>
      <c r="E181" s="17" t="s">
        <v>33</v>
      </c>
      <c r="F181" s="17" t="s">
        <v>33</v>
      </c>
    </row>
    <row r="182" spans="1:6" x14ac:dyDescent="0.25">
      <c r="A182" s="14">
        <v>2020</v>
      </c>
      <c r="B182" s="14" t="s">
        <v>162</v>
      </c>
      <c r="C182" s="14" t="s">
        <v>163</v>
      </c>
      <c r="D182" s="17" t="s">
        <v>33</v>
      </c>
      <c r="E182" s="17" t="s">
        <v>33</v>
      </c>
      <c r="F182" s="17" t="s">
        <v>33</v>
      </c>
    </row>
    <row r="183" spans="1:6" x14ac:dyDescent="0.25">
      <c r="A183" s="14">
        <v>2021</v>
      </c>
      <c r="B183" s="14" t="s">
        <v>162</v>
      </c>
      <c r="C183" s="14" t="s">
        <v>163</v>
      </c>
      <c r="D183" s="17" t="s">
        <v>33</v>
      </c>
      <c r="E183" s="17" t="s">
        <v>33</v>
      </c>
      <c r="F183" s="17" t="s">
        <v>33</v>
      </c>
    </row>
    <row r="184" spans="1:6" x14ac:dyDescent="0.25">
      <c r="A184" s="14">
        <v>2022</v>
      </c>
      <c r="B184" s="14" t="s">
        <v>162</v>
      </c>
      <c r="C184" s="14" t="s">
        <v>163</v>
      </c>
      <c r="D184" s="17" t="s">
        <v>33</v>
      </c>
      <c r="E184" s="17" t="s">
        <v>33</v>
      </c>
      <c r="F184" s="17" t="s">
        <v>33</v>
      </c>
    </row>
    <row r="185" spans="1:6" x14ac:dyDescent="0.25">
      <c r="A185" s="14">
        <v>2023</v>
      </c>
      <c r="B185" s="14" t="s">
        <v>162</v>
      </c>
      <c r="C185" s="14" t="s">
        <v>163</v>
      </c>
      <c r="D185" s="17" t="s">
        <v>33</v>
      </c>
      <c r="E185" s="17" t="s">
        <v>33</v>
      </c>
      <c r="F185" s="17" t="s">
        <v>33</v>
      </c>
    </row>
    <row r="186" spans="1:6" x14ac:dyDescent="0.25">
      <c r="A186" s="14">
        <v>2024</v>
      </c>
      <c r="B186" s="14" t="s">
        <v>162</v>
      </c>
      <c r="C186" s="14" t="s">
        <v>163</v>
      </c>
      <c r="D186" s="17" t="s">
        <v>33</v>
      </c>
      <c r="E186" s="17" t="s">
        <v>33</v>
      </c>
      <c r="F186" s="17" t="s">
        <v>33</v>
      </c>
    </row>
    <row r="187" spans="1:6" x14ac:dyDescent="0.25">
      <c r="A187" s="14">
        <v>2010</v>
      </c>
      <c r="B187" s="14" t="s">
        <v>164</v>
      </c>
      <c r="C187" s="14" t="s">
        <v>165</v>
      </c>
      <c r="D187" s="17">
        <v>24</v>
      </c>
      <c r="E187" s="17">
        <v>19</v>
      </c>
      <c r="F187" s="17">
        <v>30</v>
      </c>
    </row>
    <row r="188" spans="1:6" x14ac:dyDescent="0.25">
      <c r="A188" s="14">
        <v>2011</v>
      </c>
      <c r="B188" s="14" t="s">
        <v>164</v>
      </c>
      <c r="C188" s="14" t="s">
        <v>165</v>
      </c>
      <c r="D188" s="17">
        <v>30</v>
      </c>
      <c r="E188" s="17">
        <v>23</v>
      </c>
      <c r="F188" s="17">
        <v>37</v>
      </c>
    </row>
    <row r="189" spans="1:6" x14ac:dyDescent="0.25">
      <c r="A189" s="14">
        <v>2012</v>
      </c>
      <c r="B189" s="14" t="s">
        <v>164</v>
      </c>
      <c r="C189" s="14" t="s">
        <v>165</v>
      </c>
      <c r="D189" s="17">
        <v>35</v>
      </c>
      <c r="E189" s="17">
        <v>27</v>
      </c>
      <c r="F189" s="17">
        <v>43</v>
      </c>
    </row>
    <row r="190" spans="1:6" x14ac:dyDescent="0.25">
      <c r="A190" s="14">
        <v>2013</v>
      </c>
      <c r="B190" s="14" t="s">
        <v>164</v>
      </c>
      <c r="C190" s="14" t="s">
        <v>165</v>
      </c>
      <c r="D190" s="17">
        <v>40</v>
      </c>
      <c r="E190" s="17">
        <v>32</v>
      </c>
      <c r="F190" s="17">
        <v>50</v>
      </c>
    </row>
    <row r="191" spans="1:6" x14ac:dyDescent="0.25">
      <c r="A191" s="14">
        <v>2014</v>
      </c>
      <c r="B191" s="14" t="s">
        <v>164</v>
      </c>
      <c r="C191" s="14" t="s">
        <v>165</v>
      </c>
      <c r="D191" s="17">
        <v>42</v>
      </c>
      <c r="E191" s="17">
        <v>33</v>
      </c>
      <c r="F191" s="17">
        <v>52</v>
      </c>
    </row>
    <row r="192" spans="1:6" x14ac:dyDescent="0.25">
      <c r="A192" s="14">
        <v>2015</v>
      </c>
      <c r="B192" s="14" t="s">
        <v>164</v>
      </c>
      <c r="C192" s="14" t="s">
        <v>165</v>
      </c>
      <c r="D192" s="17">
        <v>42</v>
      </c>
      <c r="E192" s="17">
        <v>34</v>
      </c>
      <c r="F192" s="17">
        <v>52</v>
      </c>
    </row>
    <row r="193" spans="1:6" x14ac:dyDescent="0.25">
      <c r="A193" s="14">
        <v>2016</v>
      </c>
      <c r="B193" s="14" t="s">
        <v>164</v>
      </c>
      <c r="C193" s="14" t="s">
        <v>165</v>
      </c>
      <c r="D193" s="17">
        <v>43</v>
      </c>
      <c r="E193" s="17">
        <v>34</v>
      </c>
      <c r="F193" s="17">
        <v>53</v>
      </c>
    </row>
    <row r="194" spans="1:6" x14ac:dyDescent="0.25">
      <c r="A194" s="14">
        <v>2017</v>
      </c>
      <c r="B194" s="14" t="s">
        <v>164</v>
      </c>
      <c r="C194" s="14" t="s">
        <v>165</v>
      </c>
      <c r="D194" s="17">
        <v>44</v>
      </c>
      <c r="E194" s="17">
        <v>35</v>
      </c>
      <c r="F194" s="17">
        <v>54</v>
      </c>
    </row>
    <row r="195" spans="1:6" x14ac:dyDescent="0.25">
      <c r="A195" s="14">
        <v>2018</v>
      </c>
      <c r="B195" s="14" t="s">
        <v>164</v>
      </c>
      <c r="C195" s="14" t="s">
        <v>165</v>
      </c>
      <c r="D195" s="17">
        <v>44</v>
      </c>
      <c r="E195" s="17">
        <v>35</v>
      </c>
      <c r="F195" s="17">
        <v>55</v>
      </c>
    </row>
    <row r="196" spans="1:6" x14ac:dyDescent="0.25">
      <c r="A196" s="14">
        <v>2019</v>
      </c>
      <c r="B196" s="14" t="s">
        <v>164</v>
      </c>
      <c r="C196" s="14" t="s">
        <v>165</v>
      </c>
      <c r="D196" s="17">
        <v>46</v>
      </c>
      <c r="E196" s="17">
        <v>36</v>
      </c>
      <c r="F196" s="17">
        <v>57</v>
      </c>
    </row>
    <row r="197" spans="1:6" x14ac:dyDescent="0.25">
      <c r="A197" s="14">
        <v>2020</v>
      </c>
      <c r="B197" s="14" t="s">
        <v>164</v>
      </c>
      <c r="C197" s="14" t="s">
        <v>165</v>
      </c>
      <c r="D197" s="17">
        <v>47</v>
      </c>
      <c r="E197" s="17">
        <v>37</v>
      </c>
      <c r="F197" s="17">
        <v>57</v>
      </c>
    </row>
    <row r="198" spans="1:6" x14ac:dyDescent="0.25">
      <c r="A198" s="14">
        <v>2021</v>
      </c>
      <c r="B198" s="14" t="s">
        <v>164</v>
      </c>
      <c r="C198" s="14" t="s">
        <v>165</v>
      </c>
      <c r="D198" s="17">
        <v>49</v>
      </c>
      <c r="E198" s="17">
        <v>38</v>
      </c>
      <c r="F198" s="17">
        <v>61</v>
      </c>
    </row>
    <row r="199" spans="1:6" x14ac:dyDescent="0.25">
      <c r="A199" s="14">
        <v>2022</v>
      </c>
      <c r="B199" s="14" t="s">
        <v>164</v>
      </c>
      <c r="C199" s="14" t="s">
        <v>165</v>
      </c>
      <c r="D199" s="17">
        <v>56</v>
      </c>
      <c r="E199" s="17">
        <v>43</v>
      </c>
      <c r="F199" s="17">
        <v>70</v>
      </c>
    </row>
    <row r="200" spans="1:6" x14ac:dyDescent="0.25">
      <c r="A200" s="14">
        <v>2023</v>
      </c>
      <c r="B200" s="14" t="s">
        <v>164</v>
      </c>
      <c r="C200" s="14" t="s">
        <v>165</v>
      </c>
      <c r="D200" s="17">
        <v>58</v>
      </c>
      <c r="E200" s="17">
        <v>45</v>
      </c>
      <c r="F200" s="17">
        <v>73</v>
      </c>
    </row>
    <row r="201" spans="1:6" x14ac:dyDescent="0.25">
      <c r="A201" s="14">
        <v>2024</v>
      </c>
      <c r="B201" s="14" t="s">
        <v>164</v>
      </c>
      <c r="C201" s="14" t="s">
        <v>165</v>
      </c>
      <c r="D201" s="17">
        <v>66</v>
      </c>
      <c r="E201" s="17">
        <v>50</v>
      </c>
      <c r="F201" s="17">
        <v>83</v>
      </c>
    </row>
    <row r="202" spans="1:6" x14ac:dyDescent="0.25">
      <c r="A202" s="14">
        <v>2010</v>
      </c>
      <c r="B202" s="14" t="s">
        <v>166</v>
      </c>
      <c r="C202" s="14" t="s">
        <v>167</v>
      </c>
      <c r="D202" s="17">
        <v>9</v>
      </c>
      <c r="E202" s="17">
        <v>7</v>
      </c>
      <c r="F202" s="17">
        <v>12</v>
      </c>
    </row>
    <row r="203" spans="1:6" x14ac:dyDescent="0.25">
      <c r="A203" s="14">
        <v>2011</v>
      </c>
      <c r="B203" s="14" t="s">
        <v>166</v>
      </c>
      <c r="C203" s="14" t="s">
        <v>167</v>
      </c>
      <c r="D203" s="17">
        <v>13</v>
      </c>
      <c r="E203" s="17">
        <v>10</v>
      </c>
      <c r="F203" s="17">
        <v>18</v>
      </c>
    </row>
    <row r="204" spans="1:6" x14ac:dyDescent="0.25">
      <c r="A204" s="14">
        <v>2012</v>
      </c>
      <c r="B204" s="14" t="s">
        <v>166</v>
      </c>
      <c r="C204" s="14" t="s">
        <v>167</v>
      </c>
      <c r="D204" s="17">
        <v>16</v>
      </c>
      <c r="E204" s="17">
        <v>12</v>
      </c>
      <c r="F204" s="17">
        <v>21</v>
      </c>
    </row>
    <row r="205" spans="1:6" x14ac:dyDescent="0.25">
      <c r="A205" s="14">
        <v>2013</v>
      </c>
      <c r="B205" s="14" t="s">
        <v>166</v>
      </c>
      <c r="C205" s="14" t="s">
        <v>167</v>
      </c>
      <c r="D205" s="17">
        <v>16</v>
      </c>
      <c r="E205" s="17">
        <v>12</v>
      </c>
      <c r="F205" s="17">
        <v>21</v>
      </c>
    </row>
    <row r="206" spans="1:6" x14ac:dyDescent="0.25">
      <c r="A206" s="14">
        <v>2014</v>
      </c>
      <c r="B206" s="14" t="s">
        <v>166</v>
      </c>
      <c r="C206" s="14" t="s">
        <v>167</v>
      </c>
      <c r="D206" s="17">
        <v>17</v>
      </c>
      <c r="E206" s="17">
        <v>13</v>
      </c>
      <c r="F206" s="17">
        <v>23</v>
      </c>
    </row>
    <row r="207" spans="1:6" x14ac:dyDescent="0.25">
      <c r="A207" s="14">
        <v>2015</v>
      </c>
      <c r="B207" s="14" t="s">
        <v>166</v>
      </c>
      <c r="C207" s="14" t="s">
        <v>167</v>
      </c>
      <c r="D207" s="17">
        <v>19</v>
      </c>
      <c r="E207" s="17">
        <v>15</v>
      </c>
      <c r="F207" s="17">
        <v>25</v>
      </c>
    </row>
    <row r="208" spans="1:6" x14ac:dyDescent="0.25">
      <c r="A208" s="14">
        <v>2016</v>
      </c>
      <c r="B208" s="14" t="s">
        <v>166</v>
      </c>
      <c r="C208" s="14" t="s">
        <v>167</v>
      </c>
      <c r="D208" s="17">
        <v>23</v>
      </c>
      <c r="E208" s="17">
        <v>18</v>
      </c>
      <c r="F208" s="17">
        <v>30</v>
      </c>
    </row>
    <row r="209" spans="1:6" x14ac:dyDescent="0.25">
      <c r="A209" s="14">
        <v>2017</v>
      </c>
      <c r="B209" s="14" t="s">
        <v>166</v>
      </c>
      <c r="C209" s="14" t="s">
        <v>167</v>
      </c>
      <c r="D209" s="17">
        <v>26</v>
      </c>
      <c r="E209" s="17">
        <v>20</v>
      </c>
      <c r="F209" s="17">
        <v>34</v>
      </c>
    </row>
    <row r="210" spans="1:6" x14ac:dyDescent="0.25">
      <c r="A210" s="14">
        <v>2018</v>
      </c>
      <c r="B210" s="14" t="s">
        <v>166</v>
      </c>
      <c r="C210" s="14" t="s">
        <v>167</v>
      </c>
      <c r="D210" s="17">
        <v>29</v>
      </c>
      <c r="E210" s="17">
        <v>22</v>
      </c>
      <c r="F210" s="17">
        <v>38</v>
      </c>
    </row>
    <row r="211" spans="1:6" x14ac:dyDescent="0.25">
      <c r="A211" s="14">
        <v>2019</v>
      </c>
      <c r="B211" s="14" t="s">
        <v>166</v>
      </c>
      <c r="C211" s="14" t="s">
        <v>167</v>
      </c>
      <c r="D211" s="17">
        <v>32</v>
      </c>
      <c r="E211" s="17">
        <v>24</v>
      </c>
      <c r="F211" s="17">
        <v>41</v>
      </c>
    </row>
    <row r="212" spans="1:6" x14ac:dyDescent="0.25">
      <c r="A212" s="14">
        <v>2020</v>
      </c>
      <c r="B212" s="14" t="s">
        <v>166</v>
      </c>
      <c r="C212" s="14" t="s">
        <v>167</v>
      </c>
      <c r="D212" s="17">
        <v>32</v>
      </c>
      <c r="E212" s="17">
        <v>24</v>
      </c>
      <c r="F212" s="17">
        <v>42</v>
      </c>
    </row>
    <row r="213" spans="1:6" x14ac:dyDescent="0.25">
      <c r="A213" s="14">
        <v>2021</v>
      </c>
      <c r="B213" s="14" t="s">
        <v>166</v>
      </c>
      <c r="C213" s="14" t="s">
        <v>167</v>
      </c>
      <c r="D213" s="17">
        <v>34</v>
      </c>
      <c r="E213" s="17">
        <v>25</v>
      </c>
      <c r="F213" s="17">
        <v>44</v>
      </c>
    </row>
    <row r="214" spans="1:6" x14ac:dyDescent="0.25">
      <c r="A214" s="14">
        <v>2022</v>
      </c>
      <c r="B214" s="14" t="s">
        <v>166</v>
      </c>
      <c r="C214" s="14" t="s">
        <v>167</v>
      </c>
      <c r="D214" s="17">
        <v>38</v>
      </c>
      <c r="E214" s="17">
        <v>28</v>
      </c>
      <c r="F214" s="17">
        <v>50</v>
      </c>
    </row>
    <row r="215" spans="1:6" x14ac:dyDescent="0.25">
      <c r="A215" s="14">
        <v>2023</v>
      </c>
      <c r="B215" s="14" t="s">
        <v>166</v>
      </c>
      <c r="C215" s="14" t="s">
        <v>167</v>
      </c>
      <c r="D215" s="17">
        <v>41</v>
      </c>
      <c r="E215" s="17">
        <v>30</v>
      </c>
      <c r="F215" s="17">
        <v>54</v>
      </c>
    </row>
    <row r="216" spans="1:6" x14ac:dyDescent="0.25">
      <c r="A216" s="14">
        <v>2024</v>
      </c>
      <c r="B216" s="14" t="s">
        <v>166</v>
      </c>
      <c r="C216" s="14" t="s">
        <v>167</v>
      </c>
      <c r="D216" s="17">
        <v>44</v>
      </c>
      <c r="E216" s="17">
        <v>33</v>
      </c>
      <c r="F216" s="17">
        <v>59</v>
      </c>
    </row>
    <row r="217" spans="1:6" x14ac:dyDescent="0.25">
      <c r="A217" s="14">
        <v>2010</v>
      </c>
      <c r="B217" s="14" t="s">
        <v>168</v>
      </c>
      <c r="C217" s="14" t="s">
        <v>169</v>
      </c>
      <c r="D217" s="17">
        <v>14</v>
      </c>
      <c r="E217" s="17">
        <v>11</v>
      </c>
      <c r="F217" s="17">
        <v>17</v>
      </c>
    </row>
    <row r="218" spans="1:6" x14ac:dyDescent="0.25">
      <c r="A218" s="14">
        <v>2011</v>
      </c>
      <c r="B218" s="14" t="s">
        <v>168</v>
      </c>
      <c r="C218" s="14" t="s">
        <v>169</v>
      </c>
      <c r="D218" s="17">
        <v>21</v>
      </c>
      <c r="E218" s="17">
        <v>16</v>
      </c>
      <c r="F218" s="17">
        <v>25</v>
      </c>
    </row>
    <row r="219" spans="1:6" x14ac:dyDescent="0.25">
      <c r="A219" s="14">
        <v>2012</v>
      </c>
      <c r="B219" s="14" t="s">
        <v>168</v>
      </c>
      <c r="C219" s="14" t="s">
        <v>169</v>
      </c>
      <c r="D219" s="17">
        <v>24</v>
      </c>
      <c r="E219" s="17">
        <v>19</v>
      </c>
      <c r="F219" s="17">
        <v>29</v>
      </c>
    </row>
    <row r="220" spans="1:6" x14ac:dyDescent="0.25">
      <c r="A220" s="14">
        <v>2013</v>
      </c>
      <c r="B220" s="14" t="s">
        <v>168</v>
      </c>
      <c r="C220" s="14" t="s">
        <v>169</v>
      </c>
      <c r="D220" s="17">
        <v>26</v>
      </c>
      <c r="E220" s="17">
        <v>20</v>
      </c>
      <c r="F220" s="17">
        <v>31</v>
      </c>
    </row>
    <row r="221" spans="1:6" x14ac:dyDescent="0.25">
      <c r="A221" s="14">
        <v>2014</v>
      </c>
      <c r="B221" s="14" t="s">
        <v>168</v>
      </c>
      <c r="C221" s="14" t="s">
        <v>169</v>
      </c>
      <c r="D221" s="17">
        <v>28</v>
      </c>
      <c r="E221" s="17">
        <v>22</v>
      </c>
      <c r="F221" s="17">
        <v>34</v>
      </c>
    </row>
    <row r="222" spans="1:6" x14ac:dyDescent="0.25">
      <c r="A222" s="14">
        <v>2015</v>
      </c>
      <c r="B222" s="14" t="s">
        <v>168</v>
      </c>
      <c r="C222" s="14" t="s">
        <v>169</v>
      </c>
      <c r="D222" s="17">
        <v>27</v>
      </c>
      <c r="E222" s="17">
        <v>22</v>
      </c>
      <c r="F222" s="17">
        <v>33</v>
      </c>
    </row>
    <row r="223" spans="1:6" x14ac:dyDescent="0.25">
      <c r="A223" s="14">
        <v>2016</v>
      </c>
      <c r="B223" s="14" t="s">
        <v>168</v>
      </c>
      <c r="C223" s="14" t="s">
        <v>169</v>
      </c>
      <c r="D223" s="17">
        <v>30</v>
      </c>
      <c r="E223" s="17">
        <v>24</v>
      </c>
      <c r="F223" s="17">
        <v>36</v>
      </c>
    </row>
    <row r="224" spans="1:6" x14ac:dyDescent="0.25">
      <c r="A224" s="14">
        <v>2017</v>
      </c>
      <c r="B224" s="14" t="s">
        <v>168</v>
      </c>
      <c r="C224" s="14" t="s">
        <v>169</v>
      </c>
      <c r="D224" s="17">
        <v>33</v>
      </c>
      <c r="E224" s="17">
        <v>26</v>
      </c>
      <c r="F224" s="17">
        <v>40</v>
      </c>
    </row>
    <row r="225" spans="1:6" x14ac:dyDescent="0.25">
      <c r="A225" s="14">
        <v>2018</v>
      </c>
      <c r="B225" s="14" t="s">
        <v>168</v>
      </c>
      <c r="C225" s="14" t="s">
        <v>169</v>
      </c>
      <c r="D225" s="17">
        <v>34</v>
      </c>
      <c r="E225" s="17">
        <v>27</v>
      </c>
      <c r="F225" s="17">
        <v>41</v>
      </c>
    </row>
    <row r="226" spans="1:6" x14ac:dyDescent="0.25">
      <c r="A226" s="14">
        <v>2019</v>
      </c>
      <c r="B226" s="14" t="s">
        <v>168</v>
      </c>
      <c r="C226" s="14" t="s">
        <v>169</v>
      </c>
      <c r="D226" s="17">
        <v>35</v>
      </c>
      <c r="E226" s="17">
        <v>28</v>
      </c>
      <c r="F226" s="17">
        <v>42</v>
      </c>
    </row>
    <row r="227" spans="1:6" x14ac:dyDescent="0.25">
      <c r="A227" s="14">
        <v>2020</v>
      </c>
      <c r="B227" s="14" t="s">
        <v>168</v>
      </c>
      <c r="C227" s="14" t="s">
        <v>169</v>
      </c>
      <c r="D227" s="17">
        <v>38</v>
      </c>
      <c r="E227" s="17">
        <v>30</v>
      </c>
      <c r="F227" s="17">
        <v>46</v>
      </c>
    </row>
    <row r="228" spans="1:6" x14ac:dyDescent="0.25">
      <c r="A228" s="14">
        <v>2021</v>
      </c>
      <c r="B228" s="14" t="s">
        <v>168</v>
      </c>
      <c r="C228" s="14" t="s">
        <v>169</v>
      </c>
      <c r="D228" s="17">
        <v>41</v>
      </c>
      <c r="E228" s="17">
        <v>32</v>
      </c>
      <c r="F228" s="17">
        <v>50</v>
      </c>
    </row>
    <row r="229" spans="1:6" x14ac:dyDescent="0.25">
      <c r="A229" s="14">
        <v>2022</v>
      </c>
      <c r="B229" s="14" t="s">
        <v>168</v>
      </c>
      <c r="C229" s="14" t="s">
        <v>169</v>
      </c>
      <c r="D229" s="17">
        <v>46</v>
      </c>
      <c r="E229" s="17">
        <v>36</v>
      </c>
      <c r="F229" s="17">
        <v>55</v>
      </c>
    </row>
    <row r="230" spans="1:6" x14ac:dyDescent="0.25">
      <c r="A230" s="14">
        <v>2023</v>
      </c>
      <c r="B230" s="14" t="s">
        <v>168</v>
      </c>
      <c r="C230" s="14" t="s">
        <v>169</v>
      </c>
      <c r="D230" s="17">
        <v>47</v>
      </c>
      <c r="E230" s="17">
        <v>36</v>
      </c>
      <c r="F230" s="17">
        <v>56</v>
      </c>
    </row>
    <row r="231" spans="1:6" x14ac:dyDescent="0.25">
      <c r="A231" s="14">
        <v>2024</v>
      </c>
      <c r="B231" s="14" t="s">
        <v>168</v>
      </c>
      <c r="C231" s="14" t="s">
        <v>169</v>
      </c>
      <c r="D231" s="17">
        <v>47</v>
      </c>
      <c r="E231" s="17">
        <v>36</v>
      </c>
      <c r="F231" s="17">
        <v>58</v>
      </c>
    </row>
    <row r="232" spans="1:6" x14ac:dyDescent="0.25">
      <c r="A232" s="14">
        <v>2010</v>
      </c>
      <c r="B232" s="14" t="s">
        <v>171</v>
      </c>
      <c r="C232" s="14" t="s">
        <v>172</v>
      </c>
      <c r="D232" s="17">
        <v>20</v>
      </c>
      <c r="E232" s="17">
        <v>16</v>
      </c>
      <c r="F232" s="17">
        <v>25</v>
      </c>
    </row>
    <row r="233" spans="1:6" x14ac:dyDescent="0.25">
      <c r="A233" s="14">
        <v>2011</v>
      </c>
      <c r="B233" s="14" t="s">
        <v>171</v>
      </c>
      <c r="C233" s="14" t="s">
        <v>172</v>
      </c>
      <c r="D233" s="17">
        <v>23</v>
      </c>
      <c r="E233" s="17">
        <v>18</v>
      </c>
      <c r="F233" s="17">
        <v>28</v>
      </c>
    </row>
    <row r="234" spans="1:6" x14ac:dyDescent="0.25">
      <c r="A234" s="14">
        <v>2012</v>
      </c>
      <c r="B234" s="14" t="s">
        <v>171</v>
      </c>
      <c r="C234" s="14" t="s">
        <v>172</v>
      </c>
      <c r="D234" s="17">
        <v>27</v>
      </c>
      <c r="E234" s="17">
        <v>21</v>
      </c>
      <c r="F234" s="17">
        <v>32</v>
      </c>
    </row>
    <row r="235" spans="1:6" x14ac:dyDescent="0.25">
      <c r="A235" s="14">
        <v>2013</v>
      </c>
      <c r="B235" s="14" t="s">
        <v>171</v>
      </c>
      <c r="C235" s="14" t="s">
        <v>172</v>
      </c>
      <c r="D235" s="17">
        <v>26</v>
      </c>
      <c r="E235" s="17">
        <v>20</v>
      </c>
      <c r="F235" s="17">
        <v>31</v>
      </c>
    </row>
    <row r="236" spans="1:6" x14ac:dyDescent="0.25">
      <c r="A236" s="14">
        <v>2014</v>
      </c>
      <c r="B236" s="14" t="s">
        <v>171</v>
      </c>
      <c r="C236" s="14" t="s">
        <v>172</v>
      </c>
      <c r="D236" s="17">
        <v>29</v>
      </c>
      <c r="E236" s="17">
        <v>23</v>
      </c>
      <c r="F236" s="17">
        <v>35</v>
      </c>
    </row>
    <row r="237" spans="1:6" x14ac:dyDescent="0.25">
      <c r="A237" s="14">
        <v>2015</v>
      </c>
      <c r="B237" s="14" t="s">
        <v>171</v>
      </c>
      <c r="C237" s="14" t="s">
        <v>172</v>
      </c>
      <c r="D237" s="17">
        <v>30</v>
      </c>
      <c r="E237" s="17">
        <v>24</v>
      </c>
      <c r="F237" s="17">
        <v>36</v>
      </c>
    </row>
    <row r="238" spans="1:6" x14ac:dyDescent="0.25">
      <c r="A238" s="14">
        <v>2016</v>
      </c>
      <c r="B238" s="14" t="s">
        <v>171</v>
      </c>
      <c r="C238" s="14" t="s">
        <v>172</v>
      </c>
      <c r="D238" s="17">
        <v>33</v>
      </c>
      <c r="E238" s="17">
        <v>26</v>
      </c>
      <c r="F238" s="17">
        <v>39</v>
      </c>
    </row>
    <row r="239" spans="1:6" x14ac:dyDescent="0.25">
      <c r="A239" s="14">
        <v>2017</v>
      </c>
      <c r="B239" s="14" t="s">
        <v>171</v>
      </c>
      <c r="C239" s="14" t="s">
        <v>172</v>
      </c>
      <c r="D239" s="17">
        <v>35</v>
      </c>
      <c r="E239" s="17">
        <v>28</v>
      </c>
      <c r="F239" s="17">
        <v>43</v>
      </c>
    </row>
    <row r="240" spans="1:6" x14ac:dyDescent="0.25">
      <c r="A240" s="14">
        <v>2018</v>
      </c>
      <c r="B240" s="14" t="s">
        <v>171</v>
      </c>
      <c r="C240" s="14" t="s">
        <v>172</v>
      </c>
      <c r="D240" s="17">
        <v>36</v>
      </c>
      <c r="E240" s="17">
        <v>29</v>
      </c>
      <c r="F240" s="17">
        <v>44</v>
      </c>
    </row>
    <row r="241" spans="1:6" x14ac:dyDescent="0.25">
      <c r="A241" s="14">
        <v>2019</v>
      </c>
      <c r="B241" s="14" t="s">
        <v>171</v>
      </c>
      <c r="C241" s="14" t="s">
        <v>172</v>
      </c>
      <c r="D241" s="17">
        <v>46</v>
      </c>
      <c r="E241" s="17">
        <v>37</v>
      </c>
      <c r="F241" s="17">
        <v>56</v>
      </c>
    </row>
    <row r="242" spans="1:6" x14ac:dyDescent="0.25">
      <c r="A242" s="14">
        <v>2020</v>
      </c>
      <c r="B242" s="14" t="s">
        <v>171</v>
      </c>
      <c r="C242" s="14" t="s">
        <v>172</v>
      </c>
      <c r="D242" s="17">
        <v>50</v>
      </c>
      <c r="E242" s="17">
        <v>40</v>
      </c>
      <c r="F242" s="17">
        <v>62</v>
      </c>
    </row>
    <row r="243" spans="1:6" x14ac:dyDescent="0.25">
      <c r="A243" s="14">
        <v>2021</v>
      </c>
      <c r="B243" s="14" t="s">
        <v>171</v>
      </c>
      <c r="C243" s="14" t="s">
        <v>172</v>
      </c>
      <c r="D243" s="17">
        <v>57</v>
      </c>
      <c r="E243" s="17">
        <v>46</v>
      </c>
      <c r="F243" s="17">
        <v>70</v>
      </c>
    </row>
    <row r="244" spans="1:6" x14ac:dyDescent="0.25">
      <c r="A244" s="14">
        <v>2022</v>
      </c>
      <c r="B244" s="14" t="s">
        <v>171</v>
      </c>
      <c r="C244" s="14" t="s">
        <v>172</v>
      </c>
      <c r="D244" s="17">
        <v>65</v>
      </c>
      <c r="E244" s="17">
        <v>52</v>
      </c>
      <c r="F244" s="17">
        <v>81</v>
      </c>
    </row>
    <row r="245" spans="1:6" x14ac:dyDescent="0.25">
      <c r="A245" s="14">
        <v>2023</v>
      </c>
      <c r="B245" s="14" t="s">
        <v>171</v>
      </c>
      <c r="C245" s="14" t="s">
        <v>172</v>
      </c>
      <c r="D245" s="17">
        <v>68</v>
      </c>
      <c r="E245" s="17">
        <v>54</v>
      </c>
      <c r="F245" s="17">
        <v>84</v>
      </c>
    </row>
    <row r="246" spans="1:6" x14ac:dyDescent="0.25">
      <c r="A246" s="14">
        <v>2024</v>
      </c>
      <c r="B246" s="14" t="s">
        <v>171</v>
      </c>
      <c r="C246" s="14" t="s">
        <v>172</v>
      </c>
      <c r="D246" s="17">
        <v>76</v>
      </c>
      <c r="E246" s="17">
        <v>61</v>
      </c>
      <c r="F246" s="17">
        <v>95</v>
      </c>
    </row>
    <row r="247" spans="1:6" x14ac:dyDescent="0.25">
      <c r="A247" s="14">
        <v>2010</v>
      </c>
      <c r="B247" s="14" t="s">
        <v>173</v>
      </c>
      <c r="C247" s="14" t="s">
        <v>174</v>
      </c>
      <c r="D247" s="17">
        <v>11</v>
      </c>
      <c r="E247" s="17">
        <v>9</v>
      </c>
      <c r="F247" s="17">
        <v>13</v>
      </c>
    </row>
    <row r="248" spans="1:6" x14ac:dyDescent="0.25">
      <c r="A248" s="14">
        <v>2011</v>
      </c>
      <c r="B248" s="14" t="s">
        <v>173</v>
      </c>
      <c r="C248" s="14" t="s">
        <v>174</v>
      </c>
      <c r="D248" s="17">
        <v>15</v>
      </c>
      <c r="E248" s="17">
        <v>12</v>
      </c>
      <c r="F248" s="17">
        <v>17</v>
      </c>
    </row>
    <row r="249" spans="1:6" x14ac:dyDescent="0.25">
      <c r="A249" s="14">
        <v>2012</v>
      </c>
      <c r="B249" s="14" t="s">
        <v>173</v>
      </c>
      <c r="C249" s="14" t="s">
        <v>174</v>
      </c>
      <c r="D249" s="17">
        <v>18</v>
      </c>
      <c r="E249" s="17">
        <v>15</v>
      </c>
      <c r="F249" s="17">
        <v>22</v>
      </c>
    </row>
    <row r="250" spans="1:6" x14ac:dyDescent="0.25">
      <c r="A250" s="14">
        <v>2013</v>
      </c>
      <c r="B250" s="14" t="s">
        <v>173</v>
      </c>
      <c r="C250" s="14" t="s">
        <v>174</v>
      </c>
      <c r="D250" s="17">
        <v>19</v>
      </c>
      <c r="E250" s="17">
        <v>16</v>
      </c>
      <c r="F250" s="17">
        <v>23</v>
      </c>
    </row>
    <row r="251" spans="1:6" x14ac:dyDescent="0.25">
      <c r="A251" s="14">
        <v>2014</v>
      </c>
      <c r="B251" s="14" t="s">
        <v>173</v>
      </c>
      <c r="C251" s="14" t="s">
        <v>174</v>
      </c>
      <c r="D251" s="17">
        <v>23</v>
      </c>
      <c r="E251" s="17">
        <v>19</v>
      </c>
      <c r="F251" s="17">
        <v>28</v>
      </c>
    </row>
    <row r="252" spans="1:6" x14ac:dyDescent="0.25">
      <c r="A252" s="14">
        <v>2015</v>
      </c>
      <c r="B252" s="14" t="s">
        <v>173</v>
      </c>
      <c r="C252" s="14" t="s">
        <v>174</v>
      </c>
      <c r="D252" s="17">
        <v>27</v>
      </c>
      <c r="E252" s="17">
        <v>22</v>
      </c>
      <c r="F252" s="17">
        <v>33</v>
      </c>
    </row>
    <row r="253" spans="1:6" x14ac:dyDescent="0.25">
      <c r="A253" s="14">
        <v>2016</v>
      </c>
      <c r="B253" s="14" t="s">
        <v>173</v>
      </c>
      <c r="C253" s="14" t="s">
        <v>174</v>
      </c>
      <c r="D253" s="17">
        <v>34</v>
      </c>
      <c r="E253" s="17">
        <v>28</v>
      </c>
      <c r="F253" s="17">
        <v>41</v>
      </c>
    </row>
    <row r="254" spans="1:6" x14ac:dyDescent="0.25">
      <c r="A254" s="14">
        <v>2017</v>
      </c>
      <c r="B254" s="14" t="s">
        <v>173</v>
      </c>
      <c r="C254" s="14" t="s">
        <v>174</v>
      </c>
      <c r="D254" s="17">
        <v>34</v>
      </c>
      <c r="E254" s="17">
        <v>28</v>
      </c>
      <c r="F254" s="17">
        <v>41</v>
      </c>
    </row>
    <row r="255" spans="1:6" x14ac:dyDescent="0.25">
      <c r="A255" s="14">
        <v>2018</v>
      </c>
      <c r="B255" s="14" t="s">
        <v>173</v>
      </c>
      <c r="C255" s="14" t="s">
        <v>174</v>
      </c>
      <c r="D255" s="17">
        <v>44</v>
      </c>
      <c r="E255" s="17">
        <v>36</v>
      </c>
      <c r="F255" s="17">
        <v>53</v>
      </c>
    </row>
    <row r="256" spans="1:6" x14ac:dyDescent="0.25">
      <c r="A256" s="14">
        <v>2019</v>
      </c>
      <c r="B256" s="14" t="s">
        <v>173</v>
      </c>
      <c r="C256" s="14" t="s">
        <v>174</v>
      </c>
      <c r="D256" s="17">
        <v>49</v>
      </c>
      <c r="E256" s="17">
        <v>40</v>
      </c>
      <c r="F256" s="17">
        <v>59</v>
      </c>
    </row>
    <row r="257" spans="1:6" x14ac:dyDescent="0.25">
      <c r="A257" s="14">
        <v>2020</v>
      </c>
      <c r="B257" s="14" t="s">
        <v>173</v>
      </c>
      <c r="C257" s="14" t="s">
        <v>174</v>
      </c>
      <c r="D257" s="17">
        <v>52</v>
      </c>
      <c r="E257" s="17">
        <v>42</v>
      </c>
      <c r="F257" s="17">
        <v>62</v>
      </c>
    </row>
    <row r="258" spans="1:6" x14ac:dyDescent="0.25">
      <c r="A258" s="14">
        <v>2021</v>
      </c>
      <c r="B258" s="14" t="s">
        <v>173</v>
      </c>
      <c r="C258" s="14" t="s">
        <v>174</v>
      </c>
      <c r="D258" s="17">
        <v>59</v>
      </c>
      <c r="E258" s="17">
        <v>48</v>
      </c>
      <c r="F258" s="17">
        <v>71</v>
      </c>
    </row>
    <row r="259" spans="1:6" x14ac:dyDescent="0.25">
      <c r="A259" s="14">
        <v>2022</v>
      </c>
      <c r="B259" s="14" t="s">
        <v>173</v>
      </c>
      <c r="C259" s="14" t="s">
        <v>174</v>
      </c>
      <c r="D259" s="17">
        <v>66</v>
      </c>
      <c r="E259" s="17">
        <v>53</v>
      </c>
      <c r="F259" s="17">
        <v>79</v>
      </c>
    </row>
    <row r="260" spans="1:6" x14ac:dyDescent="0.25">
      <c r="A260" s="14">
        <v>2023</v>
      </c>
      <c r="B260" s="14" t="s">
        <v>173</v>
      </c>
      <c r="C260" s="14" t="s">
        <v>174</v>
      </c>
      <c r="D260" s="17">
        <v>66</v>
      </c>
      <c r="E260" s="17">
        <v>53</v>
      </c>
      <c r="F260" s="17">
        <v>79</v>
      </c>
    </row>
    <row r="261" spans="1:6" x14ac:dyDescent="0.25">
      <c r="A261" s="14">
        <v>2024</v>
      </c>
      <c r="B261" s="14" t="s">
        <v>173</v>
      </c>
      <c r="C261" s="14" t="s">
        <v>174</v>
      </c>
      <c r="D261" s="17">
        <v>80</v>
      </c>
      <c r="E261" s="17">
        <v>66</v>
      </c>
      <c r="F261" s="17">
        <v>97</v>
      </c>
    </row>
    <row r="262" spans="1:6" x14ac:dyDescent="0.25">
      <c r="A262" s="14">
        <v>2010</v>
      </c>
      <c r="B262" s="14" t="s">
        <v>175</v>
      </c>
      <c r="C262" s="14" t="s">
        <v>176</v>
      </c>
      <c r="D262" s="17">
        <v>11</v>
      </c>
      <c r="E262" s="17">
        <v>9</v>
      </c>
      <c r="F262" s="17">
        <v>14</v>
      </c>
    </row>
    <row r="263" spans="1:6" x14ac:dyDescent="0.25">
      <c r="A263" s="14">
        <v>2011</v>
      </c>
      <c r="B263" s="14" t="s">
        <v>175</v>
      </c>
      <c r="C263" s="14" t="s">
        <v>176</v>
      </c>
      <c r="D263" s="17">
        <v>14</v>
      </c>
      <c r="E263" s="17">
        <v>11</v>
      </c>
      <c r="F263" s="17">
        <v>17</v>
      </c>
    </row>
    <row r="264" spans="1:6" x14ac:dyDescent="0.25">
      <c r="A264" s="14">
        <v>2012</v>
      </c>
      <c r="B264" s="14" t="s">
        <v>175</v>
      </c>
      <c r="C264" s="14" t="s">
        <v>176</v>
      </c>
      <c r="D264" s="17">
        <v>14</v>
      </c>
      <c r="E264" s="17">
        <v>11</v>
      </c>
      <c r="F264" s="17">
        <v>17</v>
      </c>
    </row>
    <row r="265" spans="1:6" x14ac:dyDescent="0.25">
      <c r="A265" s="14">
        <v>2013</v>
      </c>
      <c r="B265" s="14" t="s">
        <v>175</v>
      </c>
      <c r="C265" s="14" t="s">
        <v>176</v>
      </c>
      <c r="D265" s="17">
        <v>17</v>
      </c>
      <c r="E265" s="17">
        <v>14</v>
      </c>
      <c r="F265" s="17">
        <v>21</v>
      </c>
    </row>
    <row r="266" spans="1:6" x14ac:dyDescent="0.25">
      <c r="A266" s="14">
        <v>2014</v>
      </c>
      <c r="B266" s="14" t="s">
        <v>175</v>
      </c>
      <c r="C266" s="14" t="s">
        <v>176</v>
      </c>
      <c r="D266" s="17">
        <v>19</v>
      </c>
      <c r="E266" s="17">
        <v>15</v>
      </c>
      <c r="F266" s="17">
        <v>23</v>
      </c>
    </row>
    <row r="267" spans="1:6" x14ac:dyDescent="0.25">
      <c r="A267" s="14">
        <v>2015</v>
      </c>
      <c r="B267" s="14" t="s">
        <v>175</v>
      </c>
      <c r="C267" s="14" t="s">
        <v>176</v>
      </c>
      <c r="D267" s="17">
        <v>20</v>
      </c>
      <c r="E267" s="17">
        <v>16</v>
      </c>
      <c r="F267" s="17">
        <v>25</v>
      </c>
    </row>
    <row r="268" spans="1:6" x14ac:dyDescent="0.25">
      <c r="A268" s="14">
        <v>2016</v>
      </c>
      <c r="B268" s="14" t="s">
        <v>175</v>
      </c>
      <c r="C268" s="14" t="s">
        <v>176</v>
      </c>
      <c r="D268" s="17">
        <v>23</v>
      </c>
      <c r="E268" s="17">
        <v>18</v>
      </c>
      <c r="F268" s="17">
        <v>27</v>
      </c>
    </row>
    <row r="269" spans="1:6" x14ac:dyDescent="0.25">
      <c r="A269" s="14">
        <v>2017</v>
      </c>
      <c r="B269" s="14" t="s">
        <v>175</v>
      </c>
      <c r="C269" s="14" t="s">
        <v>176</v>
      </c>
      <c r="D269" s="17">
        <v>33</v>
      </c>
      <c r="E269" s="17">
        <v>26</v>
      </c>
      <c r="F269" s="17">
        <v>40</v>
      </c>
    </row>
    <row r="270" spans="1:6" x14ac:dyDescent="0.25">
      <c r="A270" s="14">
        <v>2018</v>
      </c>
      <c r="B270" s="14" t="s">
        <v>175</v>
      </c>
      <c r="C270" s="14" t="s">
        <v>176</v>
      </c>
      <c r="D270" s="17">
        <v>40</v>
      </c>
      <c r="E270" s="17">
        <v>31</v>
      </c>
      <c r="F270" s="17">
        <v>49</v>
      </c>
    </row>
    <row r="271" spans="1:6" x14ac:dyDescent="0.25">
      <c r="A271" s="14">
        <v>2019</v>
      </c>
      <c r="B271" s="14" t="s">
        <v>175</v>
      </c>
      <c r="C271" s="14" t="s">
        <v>176</v>
      </c>
      <c r="D271" s="17">
        <v>45</v>
      </c>
      <c r="E271" s="17">
        <v>35</v>
      </c>
      <c r="F271" s="17">
        <v>55</v>
      </c>
    </row>
    <row r="272" spans="1:6" x14ac:dyDescent="0.25">
      <c r="A272" s="14">
        <v>2020</v>
      </c>
      <c r="B272" s="14" t="s">
        <v>175</v>
      </c>
      <c r="C272" s="14" t="s">
        <v>176</v>
      </c>
      <c r="D272" s="17">
        <v>54</v>
      </c>
      <c r="E272" s="17">
        <v>42</v>
      </c>
      <c r="F272" s="17">
        <v>67</v>
      </c>
    </row>
    <row r="273" spans="1:6" x14ac:dyDescent="0.25">
      <c r="A273" s="14">
        <v>2021</v>
      </c>
      <c r="B273" s="14" t="s">
        <v>175</v>
      </c>
      <c r="C273" s="14" t="s">
        <v>176</v>
      </c>
      <c r="D273" s="17">
        <v>62</v>
      </c>
      <c r="E273" s="17">
        <v>49</v>
      </c>
      <c r="F273" s="17">
        <v>77</v>
      </c>
    </row>
    <row r="274" spans="1:6" x14ac:dyDescent="0.25">
      <c r="A274" s="14">
        <v>2022</v>
      </c>
      <c r="B274" s="14" t="s">
        <v>175</v>
      </c>
      <c r="C274" s="14" t="s">
        <v>176</v>
      </c>
      <c r="D274" s="17">
        <v>73</v>
      </c>
      <c r="E274" s="17">
        <v>57</v>
      </c>
      <c r="F274" s="17">
        <v>91</v>
      </c>
    </row>
    <row r="275" spans="1:6" x14ac:dyDescent="0.25">
      <c r="A275" s="14">
        <v>2023</v>
      </c>
      <c r="B275" s="14" t="s">
        <v>175</v>
      </c>
      <c r="C275" s="14" t="s">
        <v>176</v>
      </c>
      <c r="D275" s="17">
        <v>79</v>
      </c>
      <c r="E275" s="17">
        <v>62</v>
      </c>
      <c r="F275" s="17" t="s">
        <v>208</v>
      </c>
    </row>
    <row r="276" spans="1:6" x14ac:dyDescent="0.25">
      <c r="A276" s="14">
        <v>2024</v>
      </c>
      <c r="B276" s="14" t="s">
        <v>175</v>
      </c>
      <c r="C276" s="14" t="s">
        <v>176</v>
      </c>
      <c r="D276" s="17">
        <v>93</v>
      </c>
      <c r="E276" s="17">
        <v>72</v>
      </c>
      <c r="F276" s="17" t="s">
        <v>208</v>
      </c>
    </row>
    <row r="277" spans="1:6" x14ac:dyDescent="0.25">
      <c r="A277" s="14">
        <v>2010</v>
      </c>
      <c r="B277" s="14" t="s">
        <v>177</v>
      </c>
      <c r="C277" s="14" t="s">
        <v>178</v>
      </c>
      <c r="D277" s="17">
        <v>23</v>
      </c>
      <c r="E277" s="17">
        <v>18</v>
      </c>
      <c r="F277" s="17">
        <v>28</v>
      </c>
    </row>
    <row r="278" spans="1:6" x14ac:dyDescent="0.25">
      <c r="A278" s="14">
        <v>2011</v>
      </c>
      <c r="B278" s="14" t="s">
        <v>177</v>
      </c>
      <c r="C278" s="14" t="s">
        <v>178</v>
      </c>
      <c r="D278" s="17">
        <v>26</v>
      </c>
      <c r="E278" s="17">
        <v>21</v>
      </c>
      <c r="F278" s="17">
        <v>32</v>
      </c>
    </row>
    <row r="279" spans="1:6" x14ac:dyDescent="0.25">
      <c r="A279" s="14">
        <v>2012</v>
      </c>
      <c r="B279" s="14" t="s">
        <v>177</v>
      </c>
      <c r="C279" s="14" t="s">
        <v>178</v>
      </c>
      <c r="D279" s="17">
        <v>26</v>
      </c>
      <c r="E279" s="17">
        <v>20</v>
      </c>
      <c r="F279" s="17">
        <v>31</v>
      </c>
    </row>
    <row r="280" spans="1:6" x14ac:dyDescent="0.25">
      <c r="A280" s="14">
        <v>2013</v>
      </c>
      <c r="B280" s="14" t="s">
        <v>177</v>
      </c>
      <c r="C280" s="14" t="s">
        <v>178</v>
      </c>
      <c r="D280" s="17">
        <v>26</v>
      </c>
      <c r="E280" s="17">
        <v>20</v>
      </c>
      <c r="F280" s="17">
        <v>31</v>
      </c>
    </row>
    <row r="281" spans="1:6" x14ac:dyDescent="0.25">
      <c r="A281" s="14">
        <v>2014</v>
      </c>
      <c r="B281" s="14" t="s">
        <v>177</v>
      </c>
      <c r="C281" s="14" t="s">
        <v>178</v>
      </c>
      <c r="D281" s="17">
        <v>28</v>
      </c>
      <c r="E281" s="17">
        <v>22</v>
      </c>
      <c r="F281" s="17">
        <v>34</v>
      </c>
    </row>
    <row r="282" spans="1:6" x14ac:dyDescent="0.25">
      <c r="A282" s="14">
        <v>2015</v>
      </c>
      <c r="B282" s="14" t="s">
        <v>177</v>
      </c>
      <c r="C282" s="14" t="s">
        <v>178</v>
      </c>
      <c r="D282" s="17">
        <v>31</v>
      </c>
      <c r="E282" s="17">
        <v>24</v>
      </c>
      <c r="F282" s="17">
        <v>38</v>
      </c>
    </row>
    <row r="283" spans="1:6" x14ac:dyDescent="0.25">
      <c r="A283" s="14">
        <v>2016</v>
      </c>
      <c r="B283" s="14" t="s">
        <v>177</v>
      </c>
      <c r="C283" s="14" t="s">
        <v>178</v>
      </c>
      <c r="D283" s="17">
        <v>34</v>
      </c>
      <c r="E283" s="17">
        <v>26</v>
      </c>
      <c r="F283" s="17">
        <v>42</v>
      </c>
    </row>
    <row r="284" spans="1:6" x14ac:dyDescent="0.25">
      <c r="A284" s="14">
        <v>2017</v>
      </c>
      <c r="B284" s="14" t="s">
        <v>177</v>
      </c>
      <c r="C284" s="14" t="s">
        <v>178</v>
      </c>
      <c r="D284" s="17">
        <v>37</v>
      </c>
      <c r="E284" s="17">
        <v>29</v>
      </c>
      <c r="F284" s="17">
        <v>45</v>
      </c>
    </row>
    <row r="285" spans="1:6" x14ac:dyDescent="0.25">
      <c r="A285" s="14">
        <v>2018</v>
      </c>
      <c r="B285" s="14" t="s">
        <v>177</v>
      </c>
      <c r="C285" s="14" t="s">
        <v>178</v>
      </c>
      <c r="D285" s="17">
        <v>41</v>
      </c>
      <c r="E285" s="17">
        <v>32</v>
      </c>
      <c r="F285" s="17">
        <v>51</v>
      </c>
    </row>
    <row r="286" spans="1:6" x14ac:dyDescent="0.25">
      <c r="A286" s="14">
        <v>2019</v>
      </c>
      <c r="B286" s="14" t="s">
        <v>177</v>
      </c>
      <c r="C286" s="14" t="s">
        <v>178</v>
      </c>
      <c r="D286" s="17">
        <v>41</v>
      </c>
      <c r="E286" s="17">
        <v>32</v>
      </c>
      <c r="F286" s="17">
        <v>50</v>
      </c>
    </row>
    <row r="287" spans="1:6" x14ac:dyDescent="0.25">
      <c r="A287" s="14">
        <v>2020</v>
      </c>
      <c r="B287" s="14" t="s">
        <v>177</v>
      </c>
      <c r="C287" s="14" t="s">
        <v>178</v>
      </c>
      <c r="D287" s="17">
        <v>49</v>
      </c>
      <c r="E287" s="17">
        <v>38</v>
      </c>
      <c r="F287" s="17">
        <v>61</v>
      </c>
    </row>
    <row r="288" spans="1:6" x14ac:dyDescent="0.25">
      <c r="A288" s="14">
        <v>2021</v>
      </c>
      <c r="B288" s="14" t="s">
        <v>177</v>
      </c>
      <c r="C288" s="14" t="s">
        <v>178</v>
      </c>
      <c r="D288" s="17">
        <v>48</v>
      </c>
      <c r="E288" s="17">
        <v>38</v>
      </c>
      <c r="F288" s="17">
        <v>60</v>
      </c>
    </row>
    <row r="289" spans="1:6" x14ac:dyDescent="0.25">
      <c r="A289" s="14">
        <v>2022</v>
      </c>
      <c r="B289" s="14" t="s">
        <v>177</v>
      </c>
      <c r="C289" s="14" t="s">
        <v>178</v>
      </c>
      <c r="D289" s="17">
        <v>55</v>
      </c>
      <c r="E289" s="17">
        <v>42</v>
      </c>
      <c r="F289" s="17">
        <v>68</v>
      </c>
    </row>
    <row r="290" spans="1:6" x14ac:dyDescent="0.25">
      <c r="A290" s="14">
        <v>2023</v>
      </c>
      <c r="B290" s="14" t="s">
        <v>177</v>
      </c>
      <c r="C290" s="14" t="s">
        <v>178</v>
      </c>
      <c r="D290" s="17">
        <v>63</v>
      </c>
      <c r="E290" s="17">
        <v>49</v>
      </c>
      <c r="F290" s="17">
        <v>78</v>
      </c>
    </row>
    <row r="291" spans="1:6" x14ac:dyDescent="0.25">
      <c r="A291" s="14">
        <v>2024</v>
      </c>
      <c r="B291" s="14" t="s">
        <v>177</v>
      </c>
      <c r="C291" s="14" t="s">
        <v>178</v>
      </c>
      <c r="D291" s="17">
        <v>69</v>
      </c>
      <c r="E291" s="17">
        <v>54</v>
      </c>
      <c r="F291" s="17">
        <v>86</v>
      </c>
    </row>
    <row r="292" spans="1:6" x14ac:dyDescent="0.25">
      <c r="A292" s="14">
        <v>2010</v>
      </c>
      <c r="B292" s="14" t="s">
        <v>179</v>
      </c>
      <c r="C292" s="14" t="s">
        <v>180</v>
      </c>
      <c r="D292" s="17">
        <v>19</v>
      </c>
      <c r="E292" s="17">
        <v>15</v>
      </c>
      <c r="F292" s="17">
        <v>23</v>
      </c>
    </row>
    <row r="293" spans="1:6" x14ac:dyDescent="0.25">
      <c r="A293" s="14">
        <v>2011</v>
      </c>
      <c r="B293" s="14" t="s">
        <v>179</v>
      </c>
      <c r="C293" s="14" t="s">
        <v>180</v>
      </c>
      <c r="D293" s="17">
        <v>21</v>
      </c>
      <c r="E293" s="17">
        <v>17</v>
      </c>
      <c r="F293" s="17">
        <v>26</v>
      </c>
    </row>
    <row r="294" spans="1:6" x14ac:dyDescent="0.25">
      <c r="A294" s="14">
        <v>2012</v>
      </c>
      <c r="B294" s="14" t="s">
        <v>179</v>
      </c>
      <c r="C294" s="14" t="s">
        <v>180</v>
      </c>
      <c r="D294" s="17">
        <v>24</v>
      </c>
      <c r="E294" s="17">
        <v>18</v>
      </c>
      <c r="F294" s="17">
        <v>29</v>
      </c>
    </row>
    <row r="295" spans="1:6" x14ac:dyDescent="0.25">
      <c r="A295" s="14">
        <v>2013</v>
      </c>
      <c r="B295" s="14" t="s">
        <v>179</v>
      </c>
      <c r="C295" s="14" t="s">
        <v>180</v>
      </c>
      <c r="D295" s="17">
        <v>28</v>
      </c>
      <c r="E295" s="17">
        <v>22</v>
      </c>
      <c r="F295" s="17">
        <v>34</v>
      </c>
    </row>
    <row r="296" spans="1:6" x14ac:dyDescent="0.25">
      <c r="A296" s="14">
        <v>2014</v>
      </c>
      <c r="B296" s="14" t="s">
        <v>179</v>
      </c>
      <c r="C296" s="14" t="s">
        <v>180</v>
      </c>
      <c r="D296" s="17">
        <v>31</v>
      </c>
      <c r="E296" s="17">
        <v>24</v>
      </c>
      <c r="F296" s="17">
        <v>38</v>
      </c>
    </row>
    <row r="297" spans="1:6" x14ac:dyDescent="0.25">
      <c r="A297" s="14">
        <v>2015</v>
      </c>
      <c r="B297" s="14" t="s">
        <v>179</v>
      </c>
      <c r="C297" s="14" t="s">
        <v>180</v>
      </c>
      <c r="D297" s="17">
        <v>35</v>
      </c>
      <c r="E297" s="17">
        <v>27</v>
      </c>
      <c r="F297" s="17">
        <v>43</v>
      </c>
    </row>
    <row r="298" spans="1:6" x14ac:dyDescent="0.25">
      <c r="A298" s="14">
        <v>2016</v>
      </c>
      <c r="B298" s="14" t="s">
        <v>179</v>
      </c>
      <c r="C298" s="14" t="s">
        <v>180</v>
      </c>
      <c r="D298" s="17">
        <v>39</v>
      </c>
      <c r="E298" s="17">
        <v>30</v>
      </c>
      <c r="F298" s="17">
        <v>48</v>
      </c>
    </row>
    <row r="299" spans="1:6" x14ac:dyDescent="0.25">
      <c r="A299" s="14">
        <v>2017</v>
      </c>
      <c r="B299" s="14" t="s">
        <v>179</v>
      </c>
      <c r="C299" s="14" t="s">
        <v>180</v>
      </c>
      <c r="D299" s="17">
        <v>47</v>
      </c>
      <c r="E299" s="17">
        <v>36</v>
      </c>
      <c r="F299" s="17">
        <v>57</v>
      </c>
    </row>
    <row r="300" spans="1:6" x14ac:dyDescent="0.25">
      <c r="A300" s="14">
        <v>2018</v>
      </c>
      <c r="B300" s="14" t="s">
        <v>179</v>
      </c>
      <c r="C300" s="14" t="s">
        <v>180</v>
      </c>
      <c r="D300" s="17">
        <v>48</v>
      </c>
      <c r="E300" s="17">
        <v>38</v>
      </c>
      <c r="F300" s="17">
        <v>59</v>
      </c>
    </row>
    <row r="301" spans="1:6" x14ac:dyDescent="0.25">
      <c r="A301" s="14">
        <v>2019</v>
      </c>
      <c r="B301" s="14" t="s">
        <v>179</v>
      </c>
      <c r="C301" s="14" t="s">
        <v>180</v>
      </c>
      <c r="D301" s="17">
        <v>54</v>
      </c>
      <c r="E301" s="17">
        <v>42</v>
      </c>
      <c r="F301" s="17">
        <v>66</v>
      </c>
    </row>
    <row r="302" spans="1:6" x14ac:dyDescent="0.25">
      <c r="A302" s="14">
        <v>2020</v>
      </c>
      <c r="B302" s="14" t="s">
        <v>179</v>
      </c>
      <c r="C302" s="14" t="s">
        <v>180</v>
      </c>
      <c r="D302" s="17">
        <v>58</v>
      </c>
      <c r="E302" s="17">
        <v>45</v>
      </c>
      <c r="F302" s="17">
        <v>70</v>
      </c>
    </row>
    <row r="303" spans="1:6" x14ac:dyDescent="0.25">
      <c r="A303" s="14">
        <v>2021</v>
      </c>
      <c r="B303" s="14" t="s">
        <v>179</v>
      </c>
      <c r="C303" s="14" t="s">
        <v>180</v>
      </c>
      <c r="D303" s="17">
        <v>63</v>
      </c>
      <c r="E303" s="17">
        <v>50</v>
      </c>
      <c r="F303" s="17">
        <v>76</v>
      </c>
    </row>
    <row r="304" spans="1:6" x14ac:dyDescent="0.25">
      <c r="A304" s="14">
        <v>2022</v>
      </c>
      <c r="B304" s="14" t="s">
        <v>179</v>
      </c>
      <c r="C304" s="14" t="s">
        <v>180</v>
      </c>
      <c r="D304" s="17">
        <v>66</v>
      </c>
      <c r="E304" s="17">
        <v>52</v>
      </c>
      <c r="F304" s="17">
        <v>80</v>
      </c>
    </row>
    <row r="305" spans="1:6" x14ac:dyDescent="0.25">
      <c r="A305" s="14">
        <v>2023</v>
      </c>
      <c r="B305" s="14" t="s">
        <v>179</v>
      </c>
      <c r="C305" s="14" t="s">
        <v>180</v>
      </c>
      <c r="D305" s="17">
        <v>75</v>
      </c>
      <c r="E305" s="17">
        <v>59</v>
      </c>
      <c r="F305" s="17">
        <v>91</v>
      </c>
    </row>
    <row r="306" spans="1:6" x14ac:dyDescent="0.25">
      <c r="A306" s="14">
        <v>2024</v>
      </c>
      <c r="B306" s="14" t="s">
        <v>179</v>
      </c>
      <c r="C306" s="14" t="s">
        <v>180</v>
      </c>
      <c r="D306" s="17">
        <v>81</v>
      </c>
      <c r="E306" s="17">
        <v>64</v>
      </c>
      <c r="F306" s="17">
        <v>98</v>
      </c>
    </row>
    <row r="307" spans="1:6" x14ac:dyDescent="0.25">
      <c r="A307" s="14">
        <v>2010</v>
      </c>
      <c r="B307" s="14" t="s">
        <v>181</v>
      </c>
      <c r="C307" s="14" t="s">
        <v>182</v>
      </c>
      <c r="D307" s="17">
        <v>23</v>
      </c>
      <c r="E307" s="17">
        <v>19</v>
      </c>
      <c r="F307" s="17">
        <v>27</v>
      </c>
    </row>
    <row r="308" spans="1:6" x14ac:dyDescent="0.25">
      <c r="A308" s="14">
        <v>2011</v>
      </c>
      <c r="B308" s="14" t="s">
        <v>181</v>
      </c>
      <c r="C308" s="14" t="s">
        <v>182</v>
      </c>
      <c r="D308" s="17">
        <v>29</v>
      </c>
      <c r="E308" s="17">
        <v>24</v>
      </c>
      <c r="F308" s="17">
        <v>35</v>
      </c>
    </row>
    <row r="309" spans="1:6" x14ac:dyDescent="0.25">
      <c r="A309" s="14">
        <v>2012</v>
      </c>
      <c r="B309" s="14" t="s">
        <v>181</v>
      </c>
      <c r="C309" s="14" t="s">
        <v>182</v>
      </c>
      <c r="D309" s="17">
        <v>35</v>
      </c>
      <c r="E309" s="17">
        <v>29</v>
      </c>
      <c r="F309" s="17">
        <v>42</v>
      </c>
    </row>
    <row r="310" spans="1:6" x14ac:dyDescent="0.25">
      <c r="A310" s="14">
        <v>2013</v>
      </c>
      <c r="B310" s="14" t="s">
        <v>181</v>
      </c>
      <c r="C310" s="14" t="s">
        <v>182</v>
      </c>
      <c r="D310" s="17">
        <v>39</v>
      </c>
      <c r="E310" s="17">
        <v>32</v>
      </c>
      <c r="F310" s="17">
        <v>46</v>
      </c>
    </row>
    <row r="311" spans="1:6" x14ac:dyDescent="0.25">
      <c r="A311" s="14">
        <v>2014</v>
      </c>
      <c r="B311" s="14" t="s">
        <v>181</v>
      </c>
      <c r="C311" s="14" t="s">
        <v>182</v>
      </c>
      <c r="D311" s="17">
        <v>36</v>
      </c>
      <c r="E311" s="17">
        <v>30</v>
      </c>
      <c r="F311" s="17">
        <v>43</v>
      </c>
    </row>
    <row r="312" spans="1:6" x14ac:dyDescent="0.25">
      <c r="A312" s="14">
        <v>2015</v>
      </c>
      <c r="B312" s="14" t="s">
        <v>181</v>
      </c>
      <c r="C312" s="14" t="s">
        <v>182</v>
      </c>
      <c r="D312" s="17">
        <v>41</v>
      </c>
      <c r="E312" s="17">
        <v>34</v>
      </c>
      <c r="F312" s="17">
        <v>49</v>
      </c>
    </row>
    <row r="313" spans="1:6" x14ac:dyDescent="0.25">
      <c r="A313" s="14">
        <v>2016</v>
      </c>
      <c r="B313" s="14" t="s">
        <v>181</v>
      </c>
      <c r="C313" s="14" t="s">
        <v>182</v>
      </c>
      <c r="D313" s="17">
        <v>48</v>
      </c>
      <c r="E313" s="17">
        <v>40</v>
      </c>
      <c r="F313" s="17">
        <v>57</v>
      </c>
    </row>
    <row r="314" spans="1:6" x14ac:dyDescent="0.25">
      <c r="A314" s="14">
        <v>2017</v>
      </c>
      <c r="B314" s="14" t="s">
        <v>181</v>
      </c>
      <c r="C314" s="14" t="s">
        <v>182</v>
      </c>
      <c r="D314" s="17">
        <v>57</v>
      </c>
      <c r="E314" s="17">
        <v>48</v>
      </c>
      <c r="F314" s="17">
        <v>68</v>
      </c>
    </row>
    <row r="315" spans="1:6" x14ac:dyDescent="0.25">
      <c r="A315" s="14">
        <v>2018</v>
      </c>
      <c r="B315" s="14" t="s">
        <v>181</v>
      </c>
      <c r="C315" s="14" t="s">
        <v>182</v>
      </c>
      <c r="D315" s="17">
        <v>65</v>
      </c>
      <c r="E315" s="17">
        <v>55</v>
      </c>
      <c r="F315" s="17">
        <v>77</v>
      </c>
    </row>
    <row r="316" spans="1:6" x14ac:dyDescent="0.25">
      <c r="A316" s="14">
        <v>2019</v>
      </c>
      <c r="B316" s="14" t="s">
        <v>181</v>
      </c>
      <c r="C316" s="14" t="s">
        <v>182</v>
      </c>
      <c r="D316" s="17">
        <v>67</v>
      </c>
      <c r="E316" s="17">
        <v>56</v>
      </c>
      <c r="F316" s="17">
        <v>79</v>
      </c>
    </row>
    <row r="317" spans="1:6" x14ac:dyDescent="0.25">
      <c r="A317" s="14">
        <v>2020</v>
      </c>
      <c r="B317" s="14" t="s">
        <v>181</v>
      </c>
      <c r="C317" s="14" t="s">
        <v>182</v>
      </c>
      <c r="D317" s="17">
        <v>71</v>
      </c>
      <c r="E317" s="17">
        <v>59</v>
      </c>
      <c r="F317" s="17">
        <v>83</v>
      </c>
    </row>
    <row r="318" spans="1:6" x14ac:dyDescent="0.25">
      <c r="A318" s="14">
        <v>2021</v>
      </c>
      <c r="B318" s="14" t="s">
        <v>181</v>
      </c>
      <c r="C318" s="14" t="s">
        <v>182</v>
      </c>
      <c r="D318" s="17">
        <v>72</v>
      </c>
      <c r="E318" s="17">
        <v>60</v>
      </c>
      <c r="F318" s="17">
        <v>85</v>
      </c>
    </row>
    <row r="319" spans="1:6" x14ac:dyDescent="0.25">
      <c r="A319" s="14">
        <v>2022</v>
      </c>
      <c r="B319" s="14" t="s">
        <v>181</v>
      </c>
      <c r="C319" s="14" t="s">
        <v>182</v>
      </c>
      <c r="D319" s="17">
        <v>72</v>
      </c>
      <c r="E319" s="17">
        <v>61</v>
      </c>
      <c r="F319" s="17">
        <v>85</v>
      </c>
    </row>
    <row r="320" spans="1:6" x14ac:dyDescent="0.25">
      <c r="A320" s="14">
        <v>2023</v>
      </c>
      <c r="B320" s="14" t="s">
        <v>181</v>
      </c>
      <c r="C320" s="14" t="s">
        <v>182</v>
      </c>
      <c r="D320" s="17">
        <v>73</v>
      </c>
      <c r="E320" s="17">
        <v>61</v>
      </c>
      <c r="F320" s="17">
        <v>86</v>
      </c>
    </row>
    <row r="321" spans="1:6" x14ac:dyDescent="0.25">
      <c r="A321" s="14">
        <v>2024</v>
      </c>
      <c r="B321" s="14" t="s">
        <v>181</v>
      </c>
      <c r="C321" s="14" t="s">
        <v>182</v>
      </c>
      <c r="D321" s="17">
        <v>69</v>
      </c>
      <c r="E321" s="17">
        <v>58</v>
      </c>
      <c r="F321" s="17">
        <v>82</v>
      </c>
    </row>
    <row r="322" spans="1:6" x14ac:dyDescent="0.25">
      <c r="A322" s="21">
        <v>2010</v>
      </c>
      <c r="B322" s="21" t="s">
        <v>183</v>
      </c>
      <c r="C322" s="21" t="s">
        <v>184</v>
      </c>
      <c r="D322" s="23">
        <v>19</v>
      </c>
      <c r="E322" s="23">
        <v>16</v>
      </c>
      <c r="F322" s="23">
        <v>22</v>
      </c>
    </row>
    <row r="323" spans="1:6" x14ac:dyDescent="0.25">
      <c r="A323" s="21">
        <v>2011</v>
      </c>
      <c r="B323" s="21" t="s">
        <v>183</v>
      </c>
      <c r="C323" s="21" t="s">
        <v>184</v>
      </c>
      <c r="D323" s="23">
        <v>21</v>
      </c>
      <c r="E323" s="23">
        <v>18</v>
      </c>
      <c r="F323" s="23">
        <v>25</v>
      </c>
    </row>
    <row r="324" spans="1:6" x14ac:dyDescent="0.25">
      <c r="A324" s="21">
        <v>2012</v>
      </c>
      <c r="B324" s="21" t="s">
        <v>183</v>
      </c>
      <c r="C324" s="21" t="s">
        <v>184</v>
      </c>
      <c r="D324" s="23">
        <v>27</v>
      </c>
      <c r="E324" s="23">
        <v>23</v>
      </c>
      <c r="F324" s="23">
        <v>32</v>
      </c>
    </row>
    <row r="325" spans="1:6" x14ac:dyDescent="0.25">
      <c r="A325" s="21">
        <v>2013</v>
      </c>
      <c r="B325" s="21" t="s">
        <v>183</v>
      </c>
      <c r="C325" s="21" t="s">
        <v>184</v>
      </c>
      <c r="D325" s="23">
        <v>33</v>
      </c>
      <c r="E325" s="23">
        <v>28</v>
      </c>
      <c r="F325" s="23">
        <v>39</v>
      </c>
    </row>
    <row r="326" spans="1:6" x14ac:dyDescent="0.25">
      <c r="A326" s="21">
        <v>2014</v>
      </c>
      <c r="B326" s="21" t="s">
        <v>183</v>
      </c>
      <c r="C326" s="21" t="s">
        <v>184</v>
      </c>
      <c r="D326" s="23">
        <v>37</v>
      </c>
      <c r="E326" s="23">
        <v>31</v>
      </c>
      <c r="F326" s="23">
        <v>43</v>
      </c>
    </row>
    <row r="327" spans="1:6" x14ac:dyDescent="0.25">
      <c r="A327" s="21">
        <v>2015</v>
      </c>
      <c r="B327" s="21" t="s">
        <v>183</v>
      </c>
      <c r="C327" s="21" t="s">
        <v>184</v>
      </c>
      <c r="D327" s="23">
        <v>41</v>
      </c>
      <c r="E327" s="23">
        <v>34</v>
      </c>
      <c r="F327" s="23">
        <v>48</v>
      </c>
    </row>
    <row r="328" spans="1:6" x14ac:dyDescent="0.25">
      <c r="A328" s="21">
        <v>2016</v>
      </c>
      <c r="B328" s="21" t="s">
        <v>183</v>
      </c>
      <c r="C328" s="21" t="s">
        <v>184</v>
      </c>
      <c r="D328" s="23">
        <v>46</v>
      </c>
      <c r="E328" s="23">
        <v>38</v>
      </c>
      <c r="F328" s="23">
        <v>53</v>
      </c>
    </row>
    <row r="329" spans="1:6" x14ac:dyDescent="0.25">
      <c r="A329" s="21">
        <v>2017</v>
      </c>
      <c r="B329" s="21" t="s">
        <v>183</v>
      </c>
      <c r="C329" s="21" t="s">
        <v>184</v>
      </c>
      <c r="D329" s="23">
        <v>49</v>
      </c>
      <c r="E329" s="23">
        <v>41</v>
      </c>
      <c r="F329" s="23">
        <v>57</v>
      </c>
    </row>
    <row r="330" spans="1:6" x14ac:dyDescent="0.25">
      <c r="A330" s="21">
        <v>2018</v>
      </c>
      <c r="B330" s="21" t="s">
        <v>183</v>
      </c>
      <c r="C330" s="21" t="s">
        <v>184</v>
      </c>
      <c r="D330" s="23">
        <v>49</v>
      </c>
      <c r="E330" s="23">
        <v>42</v>
      </c>
      <c r="F330" s="23">
        <v>57</v>
      </c>
    </row>
    <row r="331" spans="1:6" x14ac:dyDescent="0.25">
      <c r="A331" s="21">
        <v>2019</v>
      </c>
      <c r="B331" s="21" t="s">
        <v>183</v>
      </c>
      <c r="C331" s="21" t="s">
        <v>184</v>
      </c>
      <c r="D331" s="23">
        <v>56</v>
      </c>
      <c r="E331" s="23">
        <v>47</v>
      </c>
      <c r="F331" s="23">
        <v>64</v>
      </c>
    </row>
    <row r="332" spans="1:6" x14ac:dyDescent="0.25">
      <c r="A332" s="21">
        <v>2020</v>
      </c>
      <c r="B332" s="21" t="s">
        <v>183</v>
      </c>
      <c r="C332" s="21" t="s">
        <v>184</v>
      </c>
      <c r="D332" s="23">
        <v>62</v>
      </c>
      <c r="E332" s="23">
        <v>52</v>
      </c>
      <c r="F332" s="23">
        <v>72</v>
      </c>
    </row>
    <row r="333" spans="1:6" x14ac:dyDescent="0.25">
      <c r="A333" s="21">
        <v>2021</v>
      </c>
      <c r="B333" s="21" t="s">
        <v>183</v>
      </c>
      <c r="C333" s="21" t="s">
        <v>184</v>
      </c>
      <c r="D333" s="23">
        <v>68</v>
      </c>
      <c r="E333" s="23">
        <v>57</v>
      </c>
      <c r="F333" s="23">
        <v>79</v>
      </c>
    </row>
    <row r="334" spans="1:6" x14ac:dyDescent="0.25">
      <c r="A334" s="21">
        <v>2022</v>
      </c>
      <c r="B334" s="21" t="s">
        <v>183</v>
      </c>
      <c r="C334" s="21" t="s">
        <v>184</v>
      </c>
      <c r="D334" s="23">
        <v>75</v>
      </c>
      <c r="E334" s="23">
        <v>62</v>
      </c>
      <c r="F334" s="23">
        <v>86</v>
      </c>
    </row>
    <row r="335" spans="1:6" x14ac:dyDescent="0.25">
      <c r="A335" s="21">
        <v>2023</v>
      </c>
      <c r="B335" s="21" t="s">
        <v>183</v>
      </c>
      <c r="C335" s="21" t="s">
        <v>184</v>
      </c>
      <c r="D335" s="23">
        <v>81</v>
      </c>
      <c r="E335" s="23">
        <v>67</v>
      </c>
      <c r="F335" s="23">
        <v>94</v>
      </c>
    </row>
    <row r="336" spans="1:6" x14ac:dyDescent="0.25">
      <c r="A336" s="21">
        <v>2024</v>
      </c>
      <c r="B336" s="21" t="s">
        <v>183</v>
      </c>
      <c r="C336" s="21" t="s">
        <v>184</v>
      </c>
      <c r="D336" s="23">
        <v>87</v>
      </c>
      <c r="E336" s="23">
        <v>72</v>
      </c>
      <c r="F336" s="23" t="s">
        <v>208</v>
      </c>
    </row>
    <row r="337" spans="1:6" x14ac:dyDescent="0.25">
      <c r="A337" s="14">
        <v>2010</v>
      </c>
      <c r="B337" s="14" t="s">
        <v>185</v>
      </c>
      <c r="C337" s="14" t="s">
        <v>186</v>
      </c>
      <c r="D337" s="17">
        <v>32</v>
      </c>
      <c r="E337" s="17">
        <v>26</v>
      </c>
      <c r="F337" s="17">
        <v>37</v>
      </c>
    </row>
    <row r="338" spans="1:6" x14ac:dyDescent="0.25">
      <c r="A338" s="14">
        <v>2011</v>
      </c>
      <c r="B338" s="14" t="s">
        <v>185</v>
      </c>
      <c r="C338" s="14" t="s">
        <v>186</v>
      </c>
      <c r="D338" s="17">
        <v>34</v>
      </c>
      <c r="E338" s="17">
        <v>28</v>
      </c>
      <c r="F338" s="17">
        <v>40</v>
      </c>
    </row>
    <row r="339" spans="1:6" x14ac:dyDescent="0.25">
      <c r="A339" s="14">
        <v>2012</v>
      </c>
      <c r="B339" s="14" t="s">
        <v>185</v>
      </c>
      <c r="C339" s="14" t="s">
        <v>186</v>
      </c>
      <c r="D339" s="17">
        <v>32</v>
      </c>
      <c r="E339" s="17">
        <v>26</v>
      </c>
      <c r="F339" s="17">
        <v>37</v>
      </c>
    </row>
    <row r="340" spans="1:6" x14ac:dyDescent="0.25">
      <c r="A340" s="14">
        <v>2013</v>
      </c>
      <c r="B340" s="14" t="s">
        <v>185</v>
      </c>
      <c r="C340" s="14" t="s">
        <v>186</v>
      </c>
      <c r="D340" s="17">
        <v>37</v>
      </c>
      <c r="E340" s="17">
        <v>30</v>
      </c>
      <c r="F340" s="17">
        <v>43</v>
      </c>
    </row>
    <row r="341" spans="1:6" x14ac:dyDescent="0.25">
      <c r="A341" s="14">
        <v>2014</v>
      </c>
      <c r="B341" s="14" t="s">
        <v>185</v>
      </c>
      <c r="C341" s="14" t="s">
        <v>186</v>
      </c>
      <c r="D341" s="17">
        <v>43</v>
      </c>
      <c r="E341" s="17">
        <v>36</v>
      </c>
      <c r="F341" s="17">
        <v>50</v>
      </c>
    </row>
    <row r="342" spans="1:6" x14ac:dyDescent="0.25">
      <c r="A342" s="14">
        <v>2015</v>
      </c>
      <c r="B342" s="14" t="s">
        <v>185</v>
      </c>
      <c r="C342" s="14" t="s">
        <v>186</v>
      </c>
      <c r="D342" s="17">
        <v>47</v>
      </c>
      <c r="E342" s="17">
        <v>39</v>
      </c>
      <c r="F342" s="17">
        <v>55</v>
      </c>
    </row>
    <row r="343" spans="1:6" x14ac:dyDescent="0.25">
      <c r="A343" s="14">
        <v>2016</v>
      </c>
      <c r="B343" s="14" t="s">
        <v>185</v>
      </c>
      <c r="C343" s="14" t="s">
        <v>186</v>
      </c>
      <c r="D343" s="17">
        <v>55</v>
      </c>
      <c r="E343" s="17">
        <v>46</v>
      </c>
      <c r="F343" s="17">
        <v>64</v>
      </c>
    </row>
    <row r="344" spans="1:6" x14ac:dyDescent="0.25">
      <c r="A344" s="14">
        <v>2017</v>
      </c>
      <c r="B344" s="14" t="s">
        <v>185</v>
      </c>
      <c r="C344" s="14" t="s">
        <v>186</v>
      </c>
      <c r="D344" s="17">
        <v>60</v>
      </c>
      <c r="E344" s="17">
        <v>50</v>
      </c>
      <c r="F344" s="17">
        <v>70</v>
      </c>
    </row>
    <row r="345" spans="1:6" x14ac:dyDescent="0.25">
      <c r="A345" s="14">
        <v>2018</v>
      </c>
      <c r="B345" s="14" t="s">
        <v>185</v>
      </c>
      <c r="C345" s="14" t="s">
        <v>186</v>
      </c>
      <c r="D345" s="17">
        <v>68</v>
      </c>
      <c r="E345" s="17">
        <v>57</v>
      </c>
      <c r="F345" s="17">
        <v>79</v>
      </c>
    </row>
    <row r="346" spans="1:6" x14ac:dyDescent="0.25">
      <c r="A346" s="14">
        <v>2019</v>
      </c>
      <c r="B346" s="14" t="s">
        <v>185</v>
      </c>
      <c r="C346" s="14" t="s">
        <v>186</v>
      </c>
      <c r="D346" s="17">
        <v>73</v>
      </c>
      <c r="E346" s="17">
        <v>61</v>
      </c>
      <c r="F346" s="17">
        <v>84</v>
      </c>
    </row>
    <row r="347" spans="1:6" x14ac:dyDescent="0.25">
      <c r="A347" s="14">
        <v>2020</v>
      </c>
      <c r="B347" s="14" t="s">
        <v>185</v>
      </c>
      <c r="C347" s="14" t="s">
        <v>186</v>
      </c>
      <c r="D347" s="17">
        <v>75</v>
      </c>
      <c r="E347" s="17">
        <v>63</v>
      </c>
      <c r="F347" s="17">
        <v>87</v>
      </c>
    </row>
    <row r="348" spans="1:6" x14ac:dyDescent="0.25">
      <c r="A348" s="14">
        <v>2021</v>
      </c>
      <c r="B348" s="14" t="s">
        <v>185</v>
      </c>
      <c r="C348" s="14" t="s">
        <v>186</v>
      </c>
      <c r="D348" s="17">
        <v>76</v>
      </c>
      <c r="E348" s="17">
        <v>64</v>
      </c>
      <c r="F348" s="17">
        <v>88</v>
      </c>
    </row>
    <row r="349" spans="1:6" x14ac:dyDescent="0.25">
      <c r="A349" s="14">
        <v>2022</v>
      </c>
      <c r="B349" s="14" t="s">
        <v>185</v>
      </c>
      <c r="C349" s="14" t="s">
        <v>186</v>
      </c>
      <c r="D349" s="17">
        <v>76</v>
      </c>
      <c r="E349" s="17">
        <v>64</v>
      </c>
      <c r="F349" s="17">
        <v>88</v>
      </c>
    </row>
    <row r="350" spans="1:6" x14ac:dyDescent="0.25">
      <c r="A350" s="14">
        <v>2023</v>
      </c>
      <c r="B350" s="14" t="s">
        <v>185</v>
      </c>
      <c r="C350" s="14" t="s">
        <v>186</v>
      </c>
      <c r="D350" s="17">
        <v>77</v>
      </c>
      <c r="E350" s="17">
        <v>65</v>
      </c>
      <c r="F350" s="17">
        <v>89</v>
      </c>
    </row>
    <row r="351" spans="1:6" x14ac:dyDescent="0.25">
      <c r="A351" s="14">
        <v>2024</v>
      </c>
      <c r="B351" s="14" t="s">
        <v>185</v>
      </c>
      <c r="C351" s="14" t="s">
        <v>186</v>
      </c>
      <c r="D351" s="17">
        <v>80</v>
      </c>
      <c r="E351" s="17">
        <v>67</v>
      </c>
      <c r="F351" s="17">
        <v>92</v>
      </c>
    </row>
    <row r="352" spans="1:6" x14ac:dyDescent="0.25">
      <c r="A352" s="14">
        <v>2010</v>
      </c>
      <c r="B352" s="14" t="s">
        <v>187</v>
      </c>
      <c r="C352" s="14" t="s">
        <v>188</v>
      </c>
      <c r="D352" s="17">
        <v>10</v>
      </c>
      <c r="E352" s="17">
        <v>8</v>
      </c>
      <c r="F352" s="17">
        <v>12</v>
      </c>
    </row>
    <row r="353" spans="1:6" x14ac:dyDescent="0.25">
      <c r="A353" s="14">
        <v>2011</v>
      </c>
      <c r="B353" s="14" t="s">
        <v>187</v>
      </c>
      <c r="C353" s="14" t="s">
        <v>188</v>
      </c>
      <c r="D353" s="17">
        <v>14</v>
      </c>
      <c r="E353" s="17">
        <v>11</v>
      </c>
      <c r="F353" s="17">
        <v>16</v>
      </c>
    </row>
    <row r="354" spans="1:6" x14ac:dyDescent="0.25">
      <c r="A354" s="14">
        <v>2012</v>
      </c>
      <c r="B354" s="14" t="s">
        <v>187</v>
      </c>
      <c r="C354" s="14" t="s">
        <v>188</v>
      </c>
      <c r="D354" s="17">
        <v>14</v>
      </c>
      <c r="E354" s="17">
        <v>11</v>
      </c>
      <c r="F354" s="17">
        <v>16</v>
      </c>
    </row>
    <row r="355" spans="1:6" x14ac:dyDescent="0.25">
      <c r="A355" s="14">
        <v>2013</v>
      </c>
      <c r="B355" s="14" t="s">
        <v>187</v>
      </c>
      <c r="C355" s="14" t="s">
        <v>188</v>
      </c>
      <c r="D355" s="17">
        <v>15</v>
      </c>
      <c r="E355" s="17">
        <v>12</v>
      </c>
      <c r="F355" s="17">
        <v>18</v>
      </c>
    </row>
    <row r="356" spans="1:6" x14ac:dyDescent="0.25">
      <c r="A356" s="14">
        <v>2014</v>
      </c>
      <c r="B356" s="14" t="s">
        <v>187</v>
      </c>
      <c r="C356" s="14" t="s">
        <v>188</v>
      </c>
      <c r="D356" s="17">
        <v>17</v>
      </c>
      <c r="E356" s="17">
        <v>14</v>
      </c>
      <c r="F356" s="17">
        <v>21</v>
      </c>
    </row>
    <row r="357" spans="1:6" x14ac:dyDescent="0.25">
      <c r="A357" s="14">
        <v>2015</v>
      </c>
      <c r="B357" s="14" t="s">
        <v>187</v>
      </c>
      <c r="C357" s="14" t="s">
        <v>188</v>
      </c>
      <c r="D357" s="17">
        <v>22</v>
      </c>
      <c r="E357" s="17">
        <v>18</v>
      </c>
      <c r="F357" s="17">
        <v>26</v>
      </c>
    </row>
    <row r="358" spans="1:6" x14ac:dyDescent="0.25">
      <c r="A358" s="14">
        <v>2016</v>
      </c>
      <c r="B358" s="14" t="s">
        <v>187</v>
      </c>
      <c r="C358" s="14" t="s">
        <v>188</v>
      </c>
      <c r="D358" s="17">
        <v>27</v>
      </c>
      <c r="E358" s="17">
        <v>22</v>
      </c>
      <c r="F358" s="17">
        <v>33</v>
      </c>
    </row>
    <row r="359" spans="1:6" x14ac:dyDescent="0.25">
      <c r="A359" s="14">
        <v>2017</v>
      </c>
      <c r="B359" s="14" t="s">
        <v>187</v>
      </c>
      <c r="C359" s="14" t="s">
        <v>188</v>
      </c>
      <c r="D359" s="17">
        <v>34</v>
      </c>
      <c r="E359" s="17">
        <v>27</v>
      </c>
      <c r="F359" s="17">
        <v>42</v>
      </c>
    </row>
    <row r="360" spans="1:6" x14ac:dyDescent="0.25">
      <c r="A360" s="14">
        <v>2018</v>
      </c>
      <c r="B360" s="14" t="s">
        <v>187</v>
      </c>
      <c r="C360" s="14" t="s">
        <v>188</v>
      </c>
      <c r="D360" s="17">
        <v>40</v>
      </c>
      <c r="E360" s="17">
        <v>32</v>
      </c>
      <c r="F360" s="17">
        <v>49</v>
      </c>
    </row>
    <row r="361" spans="1:6" x14ac:dyDescent="0.25">
      <c r="A361" s="14">
        <v>2019</v>
      </c>
      <c r="B361" s="14" t="s">
        <v>187</v>
      </c>
      <c r="C361" s="14" t="s">
        <v>188</v>
      </c>
      <c r="D361" s="17">
        <v>46</v>
      </c>
      <c r="E361" s="17">
        <v>36</v>
      </c>
      <c r="F361" s="17">
        <v>57</v>
      </c>
    </row>
    <row r="362" spans="1:6" x14ac:dyDescent="0.25">
      <c r="A362" s="14">
        <v>2020</v>
      </c>
      <c r="B362" s="14" t="s">
        <v>187</v>
      </c>
      <c r="C362" s="14" t="s">
        <v>188</v>
      </c>
      <c r="D362" s="17">
        <v>52</v>
      </c>
      <c r="E362" s="17">
        <v>40</v>
      </c>
      <c r="F362" s="17">
        <v>64</v>
      </c>
    </row>
    <row r="363" spans="1:6" x14ac:dyDescent="0.25">
      <c r="A363" s="14">
        <v>2021</v>
      </c>
      <c r="B363" s="14" t="s">
        <v>187</v>
      </c>
      <c r="C363" s="14" t="s">
        <v>188</v>
      </c>
      <c r="D363" s="17">
        <v>64</v>
      </c>
      <c r="E363" s="17">
        <v>49</v>
      </c>
      <c r="F363" s="17">
        <v>79</v>
      </c>
    </row>
    <row r="364" spans="1:6" x14ac:dyDescent="0.25">
      <c r="A364" s="14">
        <v>2022</v>
      </c>
      <c r="B364" s="14" t="s">
        <v>187</v>
      </c>
      <c r="C364" s="14" t="s">
        <v>188</v>
      </c>
      <c r="D364" s="17">
        <v>74</v>
      </c>
      <c r="E364" s="17">
        <v>57</v>
      </c>
      <c r="F364" s="17">
        <v>92</v>
      </c>
    </row>
    <row r="365" spans="1:6" x14ac:dyDescent="0.25">
      <c r="A365" s="14">
        <v>2023</v>
      </c>
      <c r="B365" s="14" t="s">
        <v>187</v>
      </c>
      <c r="C365" s="14" t="s">
        <v>188</v>
      </c>
      <c r="D365" s="17">
        <v>80</v>
      </c>
      <c r="E365" s="17">
        <v>61</v>
      </c>
      <c r="F365" s="17" t="s">
        <v>208</v>
      </c>
    </row>
    <row r="366" spans="1:6" x14ac:dyDescent="0.25">
      <c r="A366" s="14">
        <v>2024</v>
      </c>
      <c r="B366" s="14" t="s">
        <v>187</v>
      </c>
      <c r="C366" s="14" t="s">
        <v>188</v>
      </c>
      <c r="D366" s="17">
        <v>90</v>
      </c>
      <c r="E366" s="17">
        <v>68</v>
      </c>
      <c r="F366" s="17" t="s">
        <v>208</v>
      </c>
    </row>
    <row r="367" spans="1:6" x14ac:dyDescent="0.25">
      <c r="A367" s="14">
        <v>2010</v>
      </c>
      <c r="B367" s="14" t="s">
        <v>189</v>
      </c>
      <c r="C367" s="14" t="s">
        <v>190</v>
      </c>
      <c r="D367" s="17">
        <v>26</v>
      </c>
      <c r="E367" s="17">
        <v>21</v>
      </c>
      <c r="F367" s="17">
        <v>32</v>
      </c>
    </row>
    <row r="368" spans="1:6" x14ac:dyDescent="0.25">
      <c r="A368" s="14">
        <v>2011</v>
      </c>
      <c r="B368" s="14" t="s">
        <v>189</v>
      </c>
      <c r="C368" s="14" t="s">
        <v>190</v>
      </c>
      <c r="D368" s="17">
        <v>31</v>
      </c>
      <c r="E368" s="17">
        <v>25</v>
      </c>
      <c r="F368" s="17">
        <v>37</v>
      </c>
    </row>
    <row r="369" spans="1:6" x14ac:dyDescent="0.25">
      <c r="A369" s="14">
        <v>2012</v>
      </c>
      <c r="B369" s="14" t="s">
        <v>189</v>
      </c>
      <c r="C369" s="14" t="s">
        <v>190</v>
      </c>
      <c r="D369" s="17">
        <v>31</v>
      </c>
      <c r="E369" s="17">
        <v>25</v>
      </c>
      <c r="F369" s="17">
        <v>38</v>
      </c>
    </row>
    <row r="370" spans="1:6" x14ac:dyDescent="0.25">
      <c r="A370" s="14">
        <v>2013</v>
      </c>
      <c r="B370" s="14" t="s">
        <v>189</v>
      </c>
      <c r="C370" s="14" t="s">
        <v>190</v>
      </c>
      <c r="D370" s="17">
        <v>36</v>
      </c>
      <c r="E370" s="17">
        <v>29</v>
      </c>
      <c r="F370" s="17">
        <v>43</v>
      </c>
    </row>
    <row r="371" spans="1:6" x14ac:dyDescent="0.25">
      <c r="A371" s="14">
        <v>2014</v>
      </c>
      <c r="B371" s="14" t="s">
        <v>189</v>
      </c>
      <c r="C371" s="14" t="s">
        <v>190</v>
      </c>
      <c r="D371" s="17">
        <v>38</v>
      </c>
      <c r="E371" s="17">
        <v>31</v>
      </c>
      <c r="F371" s="17">
        <v>46</v>
      </c>
    </row>
    <row r="372" spans="1:6" x14ac:dyDescent="0.25">
      <c r="A372" s="14">
        <v>2015</v>
      </c>
      <c r="B372" s="14" t="s">
        <v>189</v>
      </c>
      <c r="C372" s="14" t="s">
        <v>190</v>
      </c>
      <c r="D372" s="17">
        <v>45</v>
      </c>
      <c r="E372" s="17">
        <v>36</v>
      </c>
      <c r="F372" s="17">
        <v>54</v>
      </c>
    </row>
    <row r="373" spans="1:6" x14ac:dyDescent="0.25">
      <c r="A373" s="14">
        <v>2016</v>
      </c>
      <c r="B373" s="14" t="s">
        <v>189</v>
      </c>
      <c r="C373" s="14" t="s">
        <v>190</v>
      </c>
      <c r="D373" s="17">
        <v>53</v>
      </c>
      <c r="E373" s="17">
        <v>42</v>
      </c>
      <c r="F373" s="17">
        <v>64</v>
      </c>
    </row>
    <row r="374" spans="1:6" x14ac:dyDescent="0.25">
      <c r="A374" s="14">
        <v>2017</v>
      </c>
      <c r="B374" s="14" t="s">
        <v>189</v>
      </c>
      <c r="C374" s="14" t="s">
        <v>190</v>
      </c>
      <c r="D374" s="17">
        <v>62</v>
      </c>
      <c r="E374" s="17">
        <v>49</v>
      </c>
      <c r="F374" s="17">
        <v>75</v>
      </c>
    </row>
    <row r="375" spans="1:6" x14ac:dyDescent="0.25">
      <c r="A375" s="14">
        <v>2018</v>
      </c>
      <c r="B375" s="14" t="s">
        <v>189</v>
      </c>
      <c r="C375" s="14" t="s">
        <v>190</v>
      </c>
      <c r="D375" s="17">
        <v>67</v>
      </c>
      <c r="E375" s="17">
        <v>52</v>
      </c>
      <c r="F375" s="17">
        <v>81</v>
      </c>
    </row>
    <row r="376" spans="1:6" x14ac:dyDescent="0.25">
      <c r="A376" s="14">
        <v>2019</v>
      </c>
      <c r="B376" s="14" t="s">
        <v>189</v>
      </c>
      <c r="C376" s="14" t="s">
        <v>190</v>
      </c>
      <c r="D376" s="17">
        <v>77</v>
      </c>
      <c r="E376" s="17">
        <v>60</v>
      </c>
      <c r="F376" s="17">
        <v>93</v>
      </c>
    </row>
    <row r="377" spans="1:6" x14ac:dyDescent="0.25">
      <c r="A377" s="14">
        <v>2020</v>
      </c>
      <c r="B377" s="14" t="s">
        <v>189</v>
      </c>
      <c r="C377" s="14" t="s">
        <v>190</v>
      </c>
      <c r="D377" s="17">
        <v>82</v>
      </c>
      <c r="E377" s="17">
        <v>64</v>
      </c>
      <c r="F377" s="17" t="s">
        <v>208</v>
      </c>
    </row>
    <row r="378" spans="1:6" x14ac:dyDescent="0.25">
      <c r="A378" s="14">
        <v>2021</v>
      </c>
      <c r="B378" s="14" t="s">
        <v>189</v>
      </c>
      <c r="C378" s="14" t="s">
        <v>190</v>
      </c>
      <c r="D378" s="17">
        <v>82</v>
      </c>
      <c r="E378" s="17">
        <v>65</v>
      </c>
      <c r="F378" s="17" t="s">
        <v>208</v>
      </c>
    </row>
    <row r="379" spans="1:6" x14ac:dyDescent="0.25">
      <c r="A379" s="14">
        <v>2022</v>
      </c>
      <c r="B379" s="14" t="s">
        <v>189</v>
      </c>
      <c r="C379" s="14" t="s">
        <v>190</v>
      </c>
      <c r="D379" s="17">
        <v>82</v>
      </c>
      <c r="E379" s="17">
        <v>65</v>
      </c>
      <c r="F379" s="17" t="s">
        <v>208</v>
      </c>
    </row>
    <row r="380" spans="1:6" x14ac:dyDescent="0.25">
      <c r="A380" s="14">
        <v>2023</v>
      </c>
      <c r="B380" s="14" t="s">
        <v>189</v>
      </c>
      <c r="C380" s="14" t="s">
        <v>190</v>
      </c>
      <c r="D380" s="17">
        <v>88</v>
      </c>
      <c r="E380" s="17">
        <v>71</v>
      </c>
      <c r="F380" s="17" t="s">
        <v>208</v>
      </c>
    </row>
    <row r="381" spans="1:6" x14ac:dyDescent="0.25">
      <c r="A381" s="14">
        <v>2024</v>
      </c>
      <c r="B381" s="14" t="s">
        <v>189</v>
      </c>
      <c r="C381" s="14" t="s">
        <v>190</v>
      </c>
      <c r="D381" s="17">
        <v>93</v>
      </c>
      <c r="E381" s="17">
        <v>73</v>
      </c>
      <c r="F381" s="17" t="s">
        <v>208</v>
      </c>
    </row>
    <row r="382" spans="1:6" x14ac:dyDescent="0.25">
      <c r="A382" s="14">
        <v>2010</v>
      </c>
      <c r="B382" s="14" t="s">
        <v>191</v>
      </c>
      <c r="C382" s="14" t="s">
        <v>192</v>
      </c>
      <c r="D382" s="17" t="s">
        <v>33</v>
      </c>
      <c r="E382" s="17" t="s">
        <v>33</v>
      </c>
      <c r="F382" s="17" t="s">
        <v>33</v>
      </c>
    </row>
    <row r="383" spans="1:6" x14ac:dyDescent="0.25">
      <c r="A383" s="14">
        <v>2011</v>
      </c>
      <c r="B383" s="14" t="s">
        <v>191</v>
      </c>
      <c r="C383" s="14" t="s">
        <v>192</v>
      </c>
      <c r="D383" s="17" t="s">
        <v>33</v>
      </c>
      <c r="E383" s="17" t="s">
        <v>33</v>
      </c>
      <c r="F383" s="17" t="s">
        <v>33</v>
      </c>
    </row>
    <row r="384" spans="1:6" x14ac:dyDescent="0.25">
      <c r="A384" s="14">
        <v>2012</v>
      </c>
      <c r="B384" s="14" t="s">
        <v>191</v>
      </c>
      <c r="C384" s="14" t="s">
        <v>192</v>
      </c>
      <c r="D384" s="17" t="s">
        <v>33</v>
      </c>
      <c r="E384" s="17" t="s">
        <v>33</v>
      </c>
      <c r="F384" s="17" t="s">
        <v>33</v>
      </c>
    </row>
    <row r="385" spans="1:6" x14ac:dyDescent="0.25">
      <c r="A385" s="14">
        <v>2013</v>
      </c>
      <c r="B385" s="14" t="s">
        <v>191</v>
      </c>
      <c r="C385" s="14" t="s">
        <v>192</v>
      </c>
      <c r="D385" s="17" t="s">
        <v>33</v>
      </c>
      <c r="E385" s="17" t="s">
        <v>33</v>
      </c>
      <c r="F385" s="17" t="s">
        <v>33</v>
      </c>
    </row>
    <row r="386" spans="1:6" x14ac:dyDescent="0.25">
      <c r="A386" s="14">
        <v>2014</v>
      </c>
      <c r="B386" s="14" t="s">
        <v>191</v>
      </c>
      <c r="C386" s="14" t="s">
        <v>192</v>
      </c>
      <c r="D386" s="17" t="s">
        <v>33</v>
      </c>
      <c r="E386" s="17" t="s">
        <v>33</v>
      </c>
      <c r="F386" s="17" t="s">
        <v>33</v>
      </c>
    </row>
    <row r="387" spans="1:6" x14ac:dyDescent="0.25">
      <c r="A387" s="14">
        <v>2015</v>
      </c>
      <c r="B387" s="14" t="s">
        <v>191</v>
      </c>
      <c r="C387" s="14" t="s">
        <v>192</v>
      </c>
      <c r="D387" s="17" t="s">
        <v>33</v>
      </c>
      <c r="E387" s="17" t="s">
        <v>33</v>
      </c>
      <c r="F387" s="17" t="s">
        <v>33</v>
      </c>
    </row>
    <row r="388" spans="1:6" x14ac:dyDescent="0.25">
      <c r="A388" s="14">
        <v>2016</v>
      </c>
      <c r="B388" s="14" t="s">
        <v>191</v>
      </c>
      <c r="C388" s="14" t="s">
        <v>192</v>
      </c>
      <c r="D388" s="17" t="s">
        <v>33</v>
      </c>
      <c r="E388" s="17" t="s">
        <v>33</v>
      </c>
      <c r="F388" s="17" t="s">
        <v>33</v>
      </c>
    </row>
    <row r="389" spans="1:6" x14ac:dyDescent="0.25">
      <c r="A389" s="14">
        <v>2017</v>
      </c>
      <c r="B389" s="14" t="s">
        <v>191</v>
      </c>
      <c r="C389" s="14" t="s">
        <v>192</v>
      </c>
      <c r="D389" s="17" t="s">
        <v>33</v>
      </c>
      <c r="E389" s="17" t="s">
        <v>33</v>
      </c>
      <c r="F389" s="17" t="s">
        <v>33</v>
      </c>
    </row>
    <row r="390" spans="1:6" x14ac:dyDescent="0.25">
      <c r="A390" s="14">
        <v>2018</v>
      </c>
      <c r="B390" s="14" t="s">
        <v>191</v>
      </c>
      <c r="C390" s="14" t="s">
        <v>192</v>
      </c>
      <c r="D390" s="17" t="s">
        <v>33</v>
      </c>
      <c r="E390" s="17" t="s">
        <v>33</v>
      </c>
      <c r="F390" s="17" t="s">
        <v>33</v>
      </c>
    </row>
    <row r="391" spans="1:6" x14ac:dyDescent="0.25">
      <c r="A391" s="14">
        <v>2019</v>
      </c>
      <c r="B391" s="14" t="s">
        <v>191</v>
      </c>
      <c r="C391" s="14" t="s">
        <v>192</v>
      </c>
      <c r="D391" s="17" t="s">
        <v>33</v>
      </c>
      <c r="E391" s="17" t="s">
        <v>33</v>
      </c>
      <c r="F391" s="17" t="s">
        <v>33</v>
      </c>
    </row>
    <row r="392" spans="1:6" x14ac:dyDescent="0.25">
      <c r="A392" s="14">
        <v>2020</v>
      </c>
      <c r="B392" s="14" t="s">
        <v>191</v>
      </c>
      <c r="C392" s="14" t="s">
        <v>192</v>
      </c>
      <c r="D392" s="17" t="s">
        <v>33</v>
      </c>
      <c r="E392" s="17" t="s">
        <v>33</v>
      </c>
      <c r="F392" s="17" t="s">
        <v>33</v>
      </c>
    </row>
    <row r="393" spans="1:6" x14ac:dyDescent="0.25">
      <c r="A393" s="14">
        <v>2021</v>
      </c>
      <c r="B393" s="14" t="s">
        <v>191</v>
      </c>
      <c r="C393" s="14" t="s">
        <v>192</v>
      </c>
      <c r="D393" s="17" t="s">
        <v>33</v>
      </c>
      <c r="E393" s="17" t="s">
        <v>33</v>
      </c>
      <c r="F393" s="17" t="s">
        <v>33</v>
      </c>
    </row>
    <row r="394" spans="1:6" x14ac:dyDescent="0.25">
      <c r="A394" s="14">
        <v>2022</v>
      </c>
      <c r="B394" s="14" t="s">
        <v>191</v>
      </c>
      <c r="C394" s="14" t="s">
        <v>192</v>
      </c>
      <c r="D394" s="17" t="s">
        <v>33</v>
      </c>
      <c r="E394" s="17" t="s">
        <v>33</v>
      </c>
      <c r="F394" s="17" t="s">
        <v>33</v>
      </c>
    </row>
    <row r="395" spans="1:6" x14ac:dyDescent="0.25">
      <c r="A395" s="14">
        <v>2023</v>
      </c>
      <c r="B395" s="14" t="s">
        <v>191</v>
      </c>
      <c r="C395" s="14" t="s">
        <v>192</v>
      </c>
      <c r="D395" s="17" t="s">
        <v>33</v>
      </c>
      <c r="E395" s="17" t="s">
        <v>33</v>
      </c>
      <c r="F395" s="17" t="s">
        <v>33</v>
      </c>
    </row>
    <row r="396" spans="1:6" x14ac:dyDescent="0.25">
      <c r="A396" s="14">
        <v>2024</v>
      </c>
      <c r="B396" s="14" t="s">
        <v>191</v>
      </c>
      <c r="C396" s="14" t="s">
        <v>192</v>
      </c>
      <c r="D396" s="17" t="s">
        <v>33</v>
      </c>
      <c r="E396" s="17" t="s">
        <v>33</v>
      </c>
      <c r="F396" s="17" t="s">
        <v>33</v>
      </c>
    </row>
    <row r="397" spans="1:6" x14ac:dyDescent="0.25">
      <c r="A397" s="14"/>
      <c r="B397" s="14"/>
      <c r="C397" s="14"/>
      <c r="D397" s="17"/>
      <c r="E397" s="17"/>
      <c r="F397" s="17"/>
    </row>
  </sheetData>
  <mergeCells count="2">
    <mergeCell ref="D4:F4"/>
    <mergeCell ref="D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CA61-76E4-4505-930F-5758D2725574}">
  <dimension ref="A1:L21"/>
  <sheetViews>
    <sheetView zoomScale="80" zoomScaleNormal="80" workbookViewId="0">
      <selection activeCell="A3" sqref="A3"/>
    </sheetView>
  </sheetViews>
  <sheetFormatPr defaultRowHeight="15" x14ac:dyDescent="0.25"/>
  <cols>
    <col min="3" max="3" width="9.42578125" customWidth="1"/>
    <col min="4" max="12" width="24.28515625" customWidth="1"/>
  </cols>
  <sheetData>
    <row r="1" spans="1:12" x14ac:dyDescent="0.25">
      <c r="A1" s="3" t="s">
        <v>206</v>
      </c>
      <c r="B1" s="1"/>
      <c r="C1" s="1"/>
      <c r="D1" s="1"/>
      <c r="E1" s="6"/>
      <c r="F1" s="6"/>
      <c r="G1" s="1"/>
      <c r="H1" s="6"/>
      <c r="I1" s="6"/>
    </row>
    <row r="2" spans="1:12" x14ac:dyDescent="0.25">
      <c r="A2" s="3" t="s">
        <v>230</v>
      </c>
      <c r="B2" s="1"/>
      <c r="C2" s="1"/>
      <c r="D2" s="1"/>
      <c r="E2" s="6"/>
      <c r="F2" s="6"/>
      <c r="G2" s="1"/>
      <c r="H2" s="6"/>
      <c r="I2" s="6"/>
    </row>
    <row r="3" spans="1:12" x14ac:dyDescent="0.25">
      <c r="A3" s="4" t="s">
        <v>212</v>
      </c>
      <c r="B3" s="1"/>
      <c r="C3" s="1"/>
      <c r="D3" s="1"/>
      <c r="E3" s="6"/>
      <c r="F3" s="6"/>
      <c r="G3" s="1"/>
      <c r="H3" s="6"/>
      <c r="I3" s="6"/>
    </row>
    <row r="4" spans="1:12" ht="15" customHeight="1" x14ac:dyDescent="0.25">
      <c r="A4" s="1"/>
      <c r="B4" s="1"/>
      <c r="C4" s="1"/>
      <c r="D4" s="1"/>
      <c r="E4" s="6"/>
      <c r="F4" s="6"/>
      <c r="G4" s="1"/>
      <c r="H4" s="6"/>
      <c r="I4" s="6"/>
    </row>
    <row r="5" spans="1:12" ht="15" customHeight="1" x14ac:dyDescent="0.25">
      <c r="A5" s="74"/>
      <c r="B5" s="74"/>
      <c r="C5" s="20"/>
    </row>
    <row r="6" spans="1:12" ht="15" customHeight="1" x14ac:dyDescent="0.25">
      <c r="A6" s="24" t="s">
        <v>222</v>
      </c>
      <c r="B6" s="24" t="s">
        <v>223</v>
      </c>
      <c r="C6" s="20" t="s">
        <v>224</v>
      </c>
      <c r="D6" s="10" t="s">
        <v>213</v>
      </c>
      <c r="E6" s="11" t="s">
        <v>214</v>
      </c>
      <c r="F6" s="11" t="s">
        <v>215</v>
      </c>
      <c r="G6" s="8" t="s">
        <v>216</v>
      </c>
      <c r="H6" s="9" t="s">
        <v>217</v>
      </c>
      <c r="I6" s="9" t="s">
        <v>218</v>
      </c>
      <c r="J6" s="18" t="s">
        <v>219</v>
      </c>
      <c r="K6" s="19" t="s">
        <v>220</v>
      </c>
      <c r="L6" s="19" t="s">
        <v>221</v>
      </c>
    </row>
    <row r="7" spans="1:12" x14ac:dyDescent="0.25">
      <c r="A7" s="14">
        <v>2010</v>
      </c>
      <c r="B7" s="14" t="s">
        <v>183</v>
      </c>
      <c r="C7" s="14" t="s">
        <v>184</v>
      </c>
      <c r="D7" s="25">
        <v>75000</v>
      </c>
      <c r="E7" s="25">
        <v>63000</v>
      </c>
      <c r="F7" s="25">
        <v>95000</v>
      </c>
      <c r="G7" s="25">
        <v>110000</v>
      </c>
      <c r="H7" s="25">
        <v>96000</v>
      </c>
      <c r="I7" s="25">
        <v>130000</v>
      </c>
      <c r="J7" s="17">
        <v>19</v>
      </c>
      <c r="K7" s="17">
        <v>16</v>
      </c>
      <c r="L7" s="17">
        <v>22</v>
      </c>
    </row>
    <row r="8" spans="1:12" x14ac:dyDescent="0.25">
      <c r="A8" s="14">
        <v>2011</v>
      </c>
      <c r="B8" s="14" t="s">
        <v>183</v>
      </c>
      <c r="C8" s="14" t="s">
        <v>184</v>
      </c>
      <c r="D8" s="25">
        <v>78000</v>
      </c>
      <c r="E8" s="25">
        <v>66000</v>
      </c>
      <c r="F8" s="25">
        <v>99000</v>
      </c>
      <c r="G8" s="25">
        <v>110000</v>
      </c>
      <c r="H8" s="25">
        <v>93000</v>
      </c>
      <c r="I8" s="25">
        <v>130000</v>
      </c>
      <c r="J8" s="17">
        <v>21</v>
      </c>
      <c r="K8" s="17">
        <v>18</v>
      </c>
      <c r="L8" s="17">
        <v>25</v>
      </c>
    </row>
    <row r="9" spans="1:12" x14ac:dyDescent="0.25">
      <c r="A9" s="14">
        <v>2012</v>
      </c>
      <c r="B9" s="14" t="s">
        <v>183</v>
      </c>
      <c r="C9" s="14" t="s">
        <v>184</v>
      </c>
      <c r="D9" s="25">
        <v>73000</v>
      </c>
      <c r="E9" s="25">
        <v>62000</v>
      </c>
      <c r="F9" s="25">
        <v>94000</v>
      </c>
      <c r="G9" s="25">
        <v>100000</v>
      </c>
      <c r="H9" s="25">
        <v>88000</v>
      </c>
      <c r="I9" s="25">
        <v>130000</v>
      </c>
      <c r="J9" s="17">
        <v>27</v>
      </c>
      <c r="K9" s="17">
        <v>23</v>
      </c>
      <c r="L9" s="17">
        <v>32</v>
      </c>
    </row>
    <row r="10" spans="1:12" x14ac:dyDescent="0.25">
      <c r="A10" s="14">
        <v>2013</v>
      </c>
      <c r="B10" s="14" t="s">
        <v>183</v>
      </c>
      <c r="C10" s="14" t="s">
        <v>184</v>
      </c>
      <c r="D10" s="25">
        <v>66000</v>
      </c>
      <c r="E10" s="25">
        <v>55000</v>
      </c>
      <c r="F10" s="25">
        <v>84000</v>
      </c>
      <c r="G10" s="25">
        <v>94000</v>
      </c>
      <c r="H10" s="25">
        <v>79000</v>
      </c>
      <c r="I10" s="25">
        <v>120000</v>
      </c>
      <c r="J10" s="17">
        <v>33</v>
      </c>
      <c r="K10" s="17">
        <v>28</v>
      </c>
      <c r="L10" s="17">
        <v>39</v>
      </c>
    </row>
    <row r="11" spans="1:12" x14ac:dyDescent="0.25">
      <c r="A11" s="14">
        <v>2014</v>
      </c>
      <c r="B11" s="14" t="s">
        <v>183</v>
      </c>
      <c r="C11" s="14" t="s">
        <v>184</v>
      </c>
      <c r="D11" s="25">
        <v>61000</v>
      </c>
      <c r="E11" s="25">
        <v>50000</v>
      </c>
      <c r="F11" s="25">
        <v>79000</v>
      </c>
      <c r="G11" s="25">
        <v>90000</v>
      </c>
      <c r="H11" s="25">
        <v>75000</v>
      </c>
      <c r="I11" s="25">
        <v>110000</v>
      </c>
      <c r="J11" s="17">
        <v>37</v>
      </c>
      <c r="K11" s="17">
        <v>31</v>
      </c>
      <c r="L11" s="17">
        <v>43</v>
      </c>
    </row>
    <row r="12" spans="1:12" x14ac:dyDescent="0.25">
      <c r="A12" s="14">
        <v>2015</v>
      </c>
      <c r="B12" s="14" t="s">
        <v>183</v>
      </c>
      <c r="C12" s="14" t="s">
        <v>184</v>
      </c>
      <c r="D12" s="25">
        <v>59000</v>
      </c>
      <c r="E12" s="25">
        <v>48000</v>
      </c>
      <c r="F12" s="25">
        <v>77000</v>
      </c>
      <c r="G12" s="25">
        <v>86000</v>
      </c>
      <c r="H12" s="25">
        <v>71000</v>
      </c>
      <c r="I12" s="25">
        <v>110000</v>
      </c>
      <c r="J12" s="17">
        <v>41</v>
      </c>
      <c r="K12" s="17">
        <v>34</v>
      </c>
      <c r="L12" s="17">
        <v>48</v>
      </c>
    </row>
    <row r="13" spans="1:12" x14ac:dyDescent="0.25">
      <c r="A13" s="14">
        <v>2016</v>
      </c>
      <c r="B13" s="14" t="s">
        <v>183</v>
      </c>
      <c r="C13" s="14" t="s">
        <v>184</v>
      </c>
      <c r="D13" s="25">
        <v>57000</v>
      </c>
      <c r="E13" s="25">
        <v>46000</v>
      </c>
      <c r="F13" s="25">
        <v>75000</v>
      </c>
      <c r="G13" s="25">
        <v>79000</v>
      </c>
      <c r="H13" s="25">
        <v>65000</v>
      </c>
      <c r="I13" s="25">
        <v>100000</v>
      </c>
      <c r="J13" s="17">
        <v>46</v>
      </c>
      <c r="K13" s="17">
        <v>38</v>
      </c>
      <c r="L13" s="17">
        <v>53</v>
      </c>
    </row>
    <row r="14" spans="1:12" x14ac:dyDescent="0.25">
      <c r="A14" s="14">
        <v>2017</v>
      </c>
      <c r="B14" s="14" t="s">
        <v>183</v>
      </c>
      <c r="C14" s="14" t="s">
        <v>184</v>
      </c>
      <c r="D14" s="25">
        <v>55000</v>
      </c>
      <c r="E14" s="25">
        <v>45000</v>
      </c>
      <c r="F14" s="25">
        <v>73000</v>
      </c>
      <c r="G14" s="25">
        <v>73000</v>
      </c>
      <c r="H14" s="25">
        <v>58000</v>
      </c>
      <c r="I14" s="25">
        <v>96000</v>
      </c>
      <c r="J14" s="17">
        <v>49</v>
      </c>
      <c r="K14" s="17">
        <v>41</v>
      </c>
      <c r="L14" s="17">
        <v>57</v>
      </c>
    </row>
    <row r="15" spans="1:12" x14ac:dyDescent="0.25">
      <c r="A15" s="14">
        <v>2018</v>
      </c>
      <c r="B15" s="14" t="s">
        <v>183</v>
      </c>
      <c r="C15" s="14" t="s">
        <v>184</v>
      </c>
      <c r="D15" s="25">
        <v>57000</v>
      </c>
      <c r="E15" s="25">
        <v>46000</v>
      </c>
      <c r="F15" s="25">
        <v>76000</v>
      </c>
      <c r="G15" s="25">
        <v>70000</v>
      </c>
      <c r="H15" s="25">
        <v>55000</v>
      </c>
      <c r="I15" s="25">
        <v>91000</v>
      </c>
      <c r="J15" s="17">
        <v>49</v>
      </c>
      <c r="K15" s="17">
        <v>42</v>
      </c>
      <c r="L15" s="17">
        <v>57</v>
      </c>
    </row>
    <row r="16" spans="1:12" x14ac:dyDescent="0.25">
      <c r="A16" s="14">
        <v>2019</v>
      </c>
      <c r="B16" s="14" t="s">
        <v>183</v>
      </c>
      <c r="C16" s="14" t="s">
        <v>184</v>
      </c>
      <c r="D16" s="25">
        <v>57000</v>
      </c>
      <c r="E16" s="25">
        <v>46000</v>
      </c>
      <c r="F16" s="25">
        <v>75000</v>
      </c>
      <c r="G16" s="25">
        <v>66000</v>
      </c>
      <c r="H16" s="25">
        <v>52000</v>
      </c>
      <c r="I16" s="25">
        <v>86000</v>
      </c>
      <c r="J16" s="17">
        <v>56</v>
      </c>
      <c r="K16" s="17">
        <v>47</v>
      </c>
      <c r="L16" s="17">
        <v>64</v>
      </c>
    </row>
    <row r="17" spans="1:12" x14ac:dyDescent="0.25">
      <c r="A17" s="14">
        <v>2020</v>
      </c>
      <c r="B17" s="14" t="s">
        <v>183</v>
      </c>
      <c r="C17" s="14" t="s">
        <v>184</v>
      </c>
      <c r="D17" s="25">
        <v>50000</v>
      </c>
      <c r="E17" s="25">
        <v>41000</v>
      </c>
      <c r="F17" s="25">
        <v>66000</v>
      </c>
      <c r="G17" s="25">
        <v>58000</v>
      </c>
      <c r="H17" s="25">
        <v>44000</v>
      </c>
      <c r="I17" s="25">
        <v>77000</v>
      </c>
      <c r="J17" s="17">
        <v>62</v>
      </c>
      <c r="K17" s="17">
        <v>52</v>
      </c>
      <c r="L17" s="17">
        <v>72</v>
      </c>
    </row>
    <row r="18" spans="1:12" x14ac:dyDescent="0.25">
      <c r="A18" s="14">
        <v>2021</v>
      </c>
      <c r="B18" s="14" t="s">
        <v>183</v>
      </c>
      <c r="C18" s="14" t="s">
        <v>184</v>
      </c>
      <c r="D18" s="25">
        <v>43000</v>
      </c>
      <c r="E18" s="25">
        <v>35000</v>
      </c>
      <c r="F18" s="25">
        <v>58000</v>
      </c>
      <c r="G18" s="25">
        <v>53000</v>
      </c>
      <c r="H18" s="25">
        <v>40000</v>
      </c>
      <c r="I18" s="25">
        <v>72000</v>
      </c>
      <c r="J18" s="17">
        <v>68</v>
      </c>
      <c r="K18" s="17">
        <v>57</v>
      </c>
      <c r="L18" s="17">
        <v>79</v>
      </c>
    </row>
    <row r="19" spans="1:12" x14ac:dyDescent="0.25">
      <c r="A19" s="14">
        <v>2022</v>
      </c>
      <c r="B19" s="14" t="s">
        <v>183</v>
      </c>
      <c r="C19" s="14" t="s">
        <v>184</v>
      </c>
      <c r="D19" s="25">
        <v>38000</v>
      </c>
      <c r="E19" s="25">
        <v>31000</v>
      </c>
      <c r="F19" s="25">
        <v>51000</v>
      </c>
      <c r="G19" s="25">
        <v>44000</v>
      </c>
      <c r="H19" s="25">
        <v>33000</v>
      </c>
      <c r="I19" s="25">
        <v>61000</v>
      </c>
      <c r="J19" s="17">
        <v>75</v>
      </c>
      <c r="K19" s="17">
        <v>62</v>
      </c>
      <c r="L19" s="17">
        <v>86</v>
      </c>
    </row>
    <row r="20" spans="1:12" x14ac:dyDescent="0.25">
      <c r="A20" s="14">
        <v>2023</v>
      </c>
      <c r="B20" s="14" t="s">
        <v>183</v>
      </c>
      <c r="C20" s="14" t="s">
        <v>184</v>
      </c>
      <c r="D20" s="25">
        <v>34000</v>
      </c>
      <c r="E20" s="25">
        <v>28000</v>
      </c>
      <c r="F20" s="25">
        <v>43000</v>
      </c>
      <c r="G20" s="25">
        <v>41000</v>
      </c>
      <c r="H20" s="25">
        <v>30000</v>
      </c>
      <c r="I20" s="25">
        <v>57000</v>
      </c>
      <c r="J20" s="17">
        <v>81</v>
      </c>
      <c r="K20" s="17">
        <v>67</v>
      </c>
      <c r="L20" s="17">
        <v>94</v>
      </c>
    </row>
    <row r="21" spans="1:12" x14ac:dyDescent="0.25">
      <c r="A21" s="14">
        <v>2024</v>
      </c>
      <c r="B21" s="14" t="s">
        <v>183</v>
      </c>
      <c r="C21" s="14" t="s">
        <v>184</v>
      </c>
      <c r="D21" s="25">
        <v>30000</v>
      </c>
      <c r="E21" s="25">
        <v>25000</v>
      </c>
      <c r="F21" s="25">
        <v>38000</v>
      </c>
      <c r="G21" s="25">
        <v>31000</v>
      </c>
      <c r="H21" s="25">
        <v>21000</v>
      </c>
      <c r="I21" s="25">
        <v>44000</v>
      </c>
      <c r="J21" s="17">
        <v>87</v>
      </c>
      <c r="K21" s="17">
        <v>72</v>
      </c>
      <c r="L21" s="17">
        <v>95</v>
      </c>
    </row>
  </sheetData>
  <mergeCells count="1">
    <mergeCell ref="A5:B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224C-CB36-4E2A-97B7-5D16C4207DE7}">
  <dimension ref="A1:D136"/>
  <sheetViews>
    <sheetView workbookViewId="0">
      <selection activeCell="B7" sqref="B7"/>
    </sheetView>
  </sheetViews>
  <sheetFormatPr defaultRowHeight="15" x14ac:dyDescent="0.25"/>
  <cols>
    <col min="1" max="1" width="7.28515625" bestFit="1" customWidth="1"/>
    <col min="2" max="2" width="16" bestFit="1" customWidth="1"/>
    <col min="3" max="3" width="8.7109375" bestFit="1" customWidth="1"/>
    <col min="4" max="4" width="8.42578125" bestFit="1" customWidth="1"/>
    <col min="5" max="5" width="12.7109375" customWidth="1"/>
  </cols>
  <sheetData>
    <row r="1" spans="1:4" x14ac:dyDescent="0.25">
      <c r="A1" t="s">
        <v>222</v>
      </c>
      <c r="B1" t="s">
        <v>289</v>
      </c>
      <c r="C1" t="s">
        <v>225</v>
      </c>
      <c r="D1" t="s">
        <v>226</v>
      </c>
    </row>
    <row r="2" spans="1:4" x14ac:dyDescent="0.25">
      <c r="A2">
        <v>2010</v>
      </c>
      <c r="B2" t="s">
        <v>227</v>
      </c>
      <c r="C2" t="s">
        <v>203</v>
      </c>
      <c r="D2">
        <v>75000</v>
      </c>
    </row>
    <row r="3" spans="1:4" x14ac:dyDescent="0.25">
      <c r="A3">
        <v>2010</v>
      </c>
      <c r="B3" t="s">
        <v>227</v>
      </c>
      <c r="C3" t="s">
        <v>204</v>
      </c>
      <c r="D3">
        <v>63000</v>
      </c>
    </row>
    <row r="4" spans="1:4" x14ac:dyDescent="0.25">
      <c r="A4">
        <v>2010</v>
      </c>
      <c r="B4" t="s">
        <v>227</v>
      </c>
      <c r="C4" t="s">
        <v>205</v>
      </c>
      <c r="D4">
        <v>95000</v>
      </c>
    </row>
    <row r="5" spans="1:4" x14ac:dyDescent="0.25">
      <c r="A5">
        <v>2010</v>
      </c>
      <c r="B5" t="s">
        <v>228</v>
      </c>
      <c r="C5" t="s">
        <v>203</v>
      </c>
      <c r="D5">
        <v>110000</v>
      </c>
    </row>
    <row r="6" spans="1:4" x14ac:dyDescent="0.25">
      <c r="A6">
        <v>2010</v>
      </c>
      <c r="B6" t="s">
        <v>228</v>
      </c>
      <c r="C6" t="s">
        <v>204</v>
      </c>
      <c r="D6">
        <v>96000</v>
      </c>
    </row>
    <row r="7" spans="1:4" x14ac:dyDescent="0.25">
      <c r="A7">
        <v>2010</v>
      </c>
      <c r="B7" t="s">
        <v>228</v>
      </c>
      <c r="C7" t="s">
        <v>205</v>
      </c>
      <c r="D7">
        <v>130000</v>
      </c>
    </row>
    <row r="8" spans="1:4" x14ac:dyDescent="0.25">
      <c r="A8">
        <v>2010</v>
      </c>
      <c r="B8" t="s">
        <v>229</v>
      </c>
      <c r="C8" t="s">
        <v>203</v>
      </c>
      <c r="D8">
        <v>19</v>
      </c>
    </row>
    <row r="9" spans="1:4" x14ac:dyDescent="0.25">
      <c r="A9">
        <v>2010</v>
      </c>
      <c r="B9" t="s">
        <v>229</v>
      </c>
      <c r="C9" t="s">
        <v>204</v>
      </c>
      <c r="D9">
        <v>16</v>
      </c>
    </row>
    <row r="10" spans="1:4" x14ac:dyDescent="0.25">
      <c r="A10">
        <v>2010</v>
      </c>
      <c r="B10" t="s">
        <v>229</v>
      </c>
      <c r="C10" t="s">
        <v>205</v>
      </c>
      <c r="D10">
        <v>22</v>
      </c>
    </row>
    <row r="11" spans="1:4" x14ac:dyDescent="0.25">
      <c r="A11">
        <v>2011</v>
      </c>
      <c r="B11" t="s">
        <v>227</v>
      </c>
      <c r="C11" t="s">
        <v>203</v>
      </c>
      <c r="D11">
        <v>78000</v>
      </c>
    </row>
    <row r="12" spans="1:4" x14ac:dyDescent="0.25">
      <c r="A12">
        <v>2011</v>
      </c>
      <c r="B12" t="s">
        <v>227</v>
      </c>
      <c r="C12" t="s">
        <v>204</v>
      </c>
      <c r="D12">
        <v>66000</v>
      </c>
    </row>
    <row r="13" spans="1:4" x14ac:dyDescent="0.25">
      <c r="A13">
        <v>2011</v>
      </c>
      <c r="B13" t="s">
        <v>227</v>
      </c>
      <c r="C13" t="s">
        <v>205</v>
      </c>
      <c r="D13">
        <v>99000</v>
      </c>
    </row>
    <row r="14" spans="1:4" x14ac:dyDescent="0.25">
      <c r="A14">
        <v>2011</v>
      </c>
      <c r="B14" t="s">
        <v>228</v>
      </c>
      <c r="C14" t="s">
        <v>203</v>
      </c>
      <c r="D14">
        <v>110000</v>
      </c>
    </row>
    <row r="15" spans="1:4" x14ac:dyDescent="0.25">
      <c r="A15">
        <v>2011</v>
      </c>
      <c r="B15" t="s">
        <v>228</v>
      </c>
      <c r="C15" t="s">
        <v>204</v>
      </c>
      <c r="D15">
        <v>93000</v>
      </c>
    </row>
    <row r="16" spans="1:4" x14ac:dyDescent="0.25">
      <c r="A16">
        <v>2011</v>
      </c>
      <c r="B16" t="s">
        <v>228</v>
      </c>
      <c r="C16" t="s">
        <v>205</v>
      </c>
      <c r="D16">
        <v>130000</v>
      </c>
    </row>
    <row r="17" spans="1:4" x14ac:dyDescent="0.25">
      <c r="A17">
        <v>2011</v>
      </c>
      <c r="B17" t="s">
        <v>229</v>
      </c>
      <c r="C17" t="s">
        <v>203</v>
      </c>
      <c r="D17">
        <v>21</v>
      </c>
    </row>
    <row r="18" spans="1:4" x14ac:dyDescent="0.25">
      <c r="A18">
        <v>2011</v>
      </c>
      <c r="B18" t="s">
        <v>229</v>
      </c>
      <c r="C18" t="s">
        <v>204</v>
      </c>
      <c r="D18">
        <v>18</v>
      </c>
    </row>
    <row r="19" spans="1:4" x14ac:dyDescent="0.25">
      <c r="A19">
        <v>2011</v>
      </c>
      <c r="B19" t="s">
        <v>229</v>
      </c>
      <c r="C19" t="s">
        <v>205</v>
      </c>
      <c r="D19">
        <v>25</v>
      </c>
    </row>
    <row r="20" spans="1:4" x14ac:dyDescent="0.25">
      <c r="A20">
        <v>2012</v>
      </c>
      <c r="B20" t="s">
        <v>227</v>
      </c>
      <c r="C20" t="s">
        <v>203</v>
      </c>
      <c r="D20">
        <v>73000</v>
      </c>
    </row>
    <row r="21" spans="1:4" x14ac:dyDescent="0.25">
      <c r="A21">
        <v>2012</v>
      </c>
      <c r="B21" t="s">
        <v>227</v>
      </c>
      <c r="C21" t="s">
        <v>204</v>
      </c>
      <c r="D21">
        <v>62000</v>
      </c>
    </row>
    <row r="22" spans="1:4" x14ac:dyDescent="0.25">
      <c r="A22">
        <v>2012</v>
      </c>
      <c r="B22" t="s">
        <v>227</v>
      </c>
      <c r="C22" t="s">
        <v>205</v>
      </c>
      <c r="D22">
        <v>94000</v>
      </c>
    </row>
    <row r="23" spans="1:4" x14ac:dyDescent="0.25">
      <c r="A23">
        <v>2012</v>
      </c>
      <c r="B23" t="s">
        <v>228</v>
      </c>
      <c r="C23" t="s">
        <v>203</v>
      </c>
      <c r="D23">
        <v>100000</v>
      </c>
    </row>
    <row r="24" spans="1:4" x14ac:dyDescent="0.25">
      <c r="A24">
        <v>2012</v>
      </c>
      <c r="B24" t="s">
        <v>228</v>
      </c>
      <c r="C24" t="s">
        <v>204</v>
      </c>
      <c r="D24">
        <v>88000</v>
      </c>
    </row>
    <row r="25" spans="1:4" x14ac:dyDescent="0.25">
      <c r="A25">
        <v>2012</v>
      </c>
      <c r="B25" t="s">
        <v>228</v>
      </c>
      <c r="C25" t="s">
        <v>205</v>
      </c>
      <c r="D25">
        <v>130000</v>
      </c>
    </row>
    <row r="26" spans="1:4" x14ac:dyDescent="0.25">
      <c r="A26">
        <v>2012</v>
      </c>
      <c r="B26" t="s">
        <v>229</v>
      </c>
      <c r="C26" t="s">
        <v>203</v>
      </c>
      <c r="D26">
        <v>27</v>
      </c>
    </row>
    <row r="27" spans="1:4" x14ac:dyDescent="0.25">
      <c r="A27">
        <v>2012</v>
      </c>
      <c r="B27" t="s">
        <v>229</v>
      </c>
      <c r="C27" t="s">
        <v>204</v>
      </c>
      <c r="D27">
        <v>23</v>
      </c>
    </row>
    <row r="28" spans="1:4" x14ac:dyDescent="0.25">
      <c r="A28">
        <v>2012</v>
      </c>
      <c r="B28" t="s">
        <v>229</v>
      </c>
      <c r="C28" t="s">
        <v>205</v>
      </c>
      <c r="D28">
        <v>32</v>
      </c>
    </row>
    <row r="29" spans="1:4" x14ac:dyDescent="0.25">
      <c r="A29">
        <v>2013</v>
      </c>
      <c r="B29" t="s">
        <v>227</v>
      </c>
      <c r="C29" t="s">
        <v>203</v>
      </c>
      <c r="D29">
        <v>66000</v>
      </c>
    </row>
    <row r="30" spans="1:4" x14ac:dyDescent="0.25">
      <c r="A30">
        <v>2013</v>
      </c>
      <c r="B30" t="s">
        <v>227</v>
      </c>
      <c r="C30" t="s">
        <v>204</v>
      </c>
      <c r="D30">
        <v>55000</v>
      </c>
    </row>
    <row r="31" spans="1:4" x14ac:dyDescent="0.25">
      <c r="A31">
        <v>2013</v>
      </c>
      <c r="B31" t="s">
        <v>227</v>
      </c>
      <c r="C31" t="s">
        <v>205</v>
      </c>
      <c r="D31">
        <v>84000</v>
      </c>
    </row>
    <row r="32" spans="1:4" x14ac:dyDescent="0.25">
      <c r="A32">
        <v>2013</v>
      </c>
      <c r="B32" t="s">
        <v>228</v>
      </c>
      <c r="C32" t="s">
        <v>203</v>
      </c>
      <c r="D32">
        <v>94000</v>
      </c>
    </row>
    <row r="33" spans="1:4" x14ac:dyDescent="0.25">
      <c r="A33">
        <v>2013</v>
      </c>
      <c r="B33" t="s">
        <v>228</v>
      </c>
      <c r="C33" t="s">
        <v>204</v>
      </c>
      <c r="D33">
        <v>79000</v>
      </c>
    </row>
    <row r="34" spans="1:4" x14ac:dyDescent="0.25">
      <c r="A34">
        <v>2013</v>
      </c>
      <c r="B34" t="s">
        <v>228</v>
      </c>
      <c r="C34" t="s">
        <v>205</v>
      </c>
      <c r="D34">
        <v>120000</v>
      </c>
    </row>
    <row r="35" spans="1:4" x14ac:dyDescent="0.25">
      <c r="A35">
        <v>2013</v>
      </c>
      <c r="B35" t="s">
        <v>229</v>
      </c>
      <c r="C35" t="s">
        <v>203</v>
      </c>
      <c r="D35">
        <v>33</v>
      </c>
    </row>
    <row r="36" spans="1:4" x14ac:dyDescent="0.25">
      <c r="A36">
        <v>2013</v>
      </c>
      <c r="B36" t="s">
        <v>229</v>
      </c>
      <c r="C36" t="s">
        <v>204</v>
      </c>
      <c r="D36">
        <v>28</v>
      </c>
    </row>
    <row r="37" spans="1:4" x14ac:dyDescent="0.25">
      <c r="A37">
        <v>2013</v>
      </c>
      <c r="B37" t="s">
        <v>229</v>
      </c>
      <c r="C37" t="s">
        <v>205</v>
      </c>
      <c r="D37">
        <v>39</v>
      </c>
    </row>
    <row r="38" spans="1:4" x14ac:dyDescent="0.25">
      <c r="A38">
        <v>2014</v>
      </c>
      <c r="B38" t="s">
        <v>227</v>
      </c>
      <c r="C38" t="s">
        <v>203</v>
      </c>
      <c r="D38">
        <v>61000</v>
      </c>
    </row>
    <row r="39" spans="1:4" x14ac:dyDescent="0.25">
      <c r="A39">
        <v>2014</v>
      </c>
      <c r="B39" t="s">
        <v>227</v>
      </c>
      <c r="C39" t="s">
        <v>204</v>
      </c>
      <c r="D39">
        <v>50000</v>
      </c>
    </row>
    <row r="40" spans="1:4" x14ac:dyDescent="0.25">
      <c r="A40">
        <v>2014</v>
      </c>
      <c r="B40" t="s">
        <v>227</v>
      </c>
      <c r="C40" t="s">
        <v>205</v>
      </c>
      <c r="D40">
        <v>79000</v>
      </c>
    </row>
    <row r="41" spans="1:4" x14ac:dyDescent="0.25">
      <c r="A41">
        <v>2014</v>
      </c>
      <c r="B41" t="s">
        <v>228</v>
      </c>
      <c r="C41" t="s">
        <v>203</v>
      </c>
      <c r="D41">
        <v>90000</v>
      </c>
    </row>
    <row r="42" spans="1:4" x14ac:dyDescent="0.25">
      <c r="A42">
        <v>2014</v>
      </c>
      <c r="B42" t="s">
        <v>228</v>
      </c>
      <c r="C42" t="s">
        <v>204</v>
      </c>
      <c r="D42">
        <v>75000</v>
      </c>
    </row>
    <row r="43" spans="1:4" x14ac:dyDescent="0.25">
      <c r="A43">
        <v>2014</v>
      </c>
      <c r="B43" t="s">
        <v>228</v>
      </c>
      <c r="C43" t="s">
        <v>205</v>
      </c>
      <c r="D43">
        <v>110000</v>
      </c>
    </row>
    <row r="44" spans="1:4" x14ac:dyDescent="0.25">
      <c r="A44">
        <v>2014</v>
      </c>
      <c r="B44" t="s">
        <v>229</v>
      </c>
      <c r="C44" t="s">
        <v>203</v>
      </c>
      <c r="D44">
        <v>37</v>
      </c>
    </row>
    <row r="45" spans="1:4" x14ac:dyDescent="0.25">
      <c r="A45">
        <v>2014</v>
      </c>
      <c r="B45" t="s">
        <v>229</v>
      </c>
      <c r="C45" t="s">
        <v>204</v>
      </c>
      <c r="D45">
        <v>31</v>
      </c>
    </row>
    <row r="46" spans="1:4" x14ac:dyDescent="0.25">
      <c r="A46">
        <v>2014</v>
      </c>
      <c r="B46" t="s">
        <v>229</v>
      </c>
      <c r="C46" t="s">
        <v>205</v>
      </c>
      <c r="D46">
        <v>43</v>
      </c>
    </row>
    <row r="47" spans="1:4" x14ac:dyDescent="0.25">
      <c r="A47">
        <v>2015</v>
      </c>
      <c r="B47" t="s">
        <v>227</v>
      </c>
      <c r="C47" t="s">
        <v>203</v>
      </c>
      <c r="D47">
        <v>59000</v>
      </c>
    </row>
    <row r="48" spans="1:4" x14ac:dyDescent="0.25">
      <c r="A48">
        <v>2015</v>
      </c>
      <c r="B48" t="s">
        <v>227</v>
      </c>
      <c r="C48" t="s">
        <v>204</v>
      </c>
      <c r="D48">
        <v>48000</v>
      </c>
    </row>
    <row r="49" spans="1:4" x14ac:dyDescent="0.25">
      <c r="A49">
        <v>2015</v>
      </c>
      <c r="B49" t="s">
        <v>227</v>
      </c>
      <c r="C49" t="s">
        <v>205</v>
      </c>
      <c r="D49">
        <v>77000</v>
      </c>
    </row>
    <row r="50" spans="1:4" x14ac:dyDescent="0.25">
      <c r="A50">
        <v>2015</v>
      </c>
      <c r="B50" t="s">
        <v>228</v>
      </c>
      <c r="C50" t="s">
        <v>203</v>
      </c>
      <c r="D50">
        <v>86000</v>
      </c>
    </row>
    <row r="51" spans="1:4" x14ac:dyDescent="0.25">
      <c r="A51">
        <v>2015</v>
      </c>
      <c r="B51" t="s">
        <v>228</v>
      </c>
      <c r="C51" t="s">
        <v>204</v>
      </c>
      <c r="D51">
        <v>71000</v>
      </c>
    </row>
    <row r="52" spans="1:4" x14ac:dyDescent="0.25">
      <c r="A52">
        <v>2015</v>
      </c>
      <c r="B52" t="s">
        <v>228</v>
      </c>
      <c r="C52" t="s">
        <v>205</v>
      </c>
      <c r="D52">
        <v>110000</v>
      </c>
    </row>
    <row r="53" spans="1:4" x14ac:dyDescent="0.25">
      <c r="A53">
        <v>2015</v>
      </c>
      <c r="B53" t="s">
        <v>229</v>
      </c>
      <c r="C53" t="s">
        <v>203</v>
      </c>
      <c r="D53">
        <v>41</v>
      </c>
    </row>
    <row r="54" spans="1:4" x14ac:dyDescent="0.25">
      <c r="A54">
        <v>2015</v>
      </c>
      <c r="B54" t="s">
        <v>229</v>
      </c>
      <c r="C54" t="s">
        <v>204</v>
      </c>
      <c r="D54">
        <v>34</v>
      </c>
    </row>
    <row r="55" spans="1:4" x14ac:dyDescent="0.25">
      <c r="A55">
        <v>2015</v>
      </c>
      <c r="B55" t="s">
        <v>229</v>
      </c>
      <c r="C55" t="s">
        <v>205</v>
      </c>
      <c r="D55">
        <v>48</v>
      </c>
    </row>
    <row r="56" spans="1:4" x14ac:dyDescent="0.25">
      <c r="A56">
        <v>2016</v>
      </c>
      <c r="B56" t="s">
        <v>227</v>
      </c>
      <c r="C56" t="s">
        <v>203</v>
      </c>
      <c r="D56">
        <v>57000</v>
      </c>
    </row>
    <row r="57" spans="1:4" x14ac:dyDescent="0.25">
      <c r="A57">
        <v>2016</v>
      </c>
      <c r="B57" t="s">
        <v>227</v>
      </c>
      <c r="C57" t="s">
        <v>204</v>
      </c>
      <c r="D57">
        <v>46000</v>
      </c>
    </row>
    <row r="58" spans="1:4" x14ac:dyDescent="0.25">
      <c r="A58">
        <v>2016</v>
      </c>
      <c r="B58" t="s">
        <v>227</v>
      </c>
      <c r="C58" t="s">
        <v>205</v>
      </c>
      <c r="D58">
        <v>75000</v>
      </c>
    </row>
    <row r="59" spans="1:4" x14ac:dyDescent="0.25">
      <c r="A59">
        <v>2016</v>
      </c>
      <c r="B59" t="s">
        <v>228</v>
      </c>
      <c r="C59" t="s">
        <v>203</v>
      </c>
      <c r="D59">
        <v>79000</v>
      </c>
    </row>
    <row r="60" spans="1:4" x14ac:dyDescent="0.25">
      <c r="A60">
        <v>2016</v>
      </c>
      <c r="B60" t="s">
        <v>228</v>
      </c>
      <c r="C60" t="s">
        <v>204</v>
      </c>
      <c r="D60">
        <v>65000</v>
      </c>
    </row>
    <row r="61" spans="1:4" x14ac:dyDescent="0.25">
      <c r="A61">
        <v>2016</v>
      </c>
      <c r="B61" t="s">
        <v>228</v>
      </c>
      <c r="C61" t="s">
        <v>205</v>
      </c>
      <c r="D61">
        <v>100000</v>
      </c>
    </row>
    <row r="62" spans="1:4" x14ac:dyDescent="0.25">
      <c r="A62">
        <v>2016</v>
      </c>
      <c r="B62" t="s">
        <v>229</v>
      </c>
      <c r="C62" t="s">
        <v>203</v>
      </c>
      <c r="D62">
        <v>46</v>
      </c>
    </row>
    <row r="63" spans="1:4" x14ac:dyDescent="0.25">
      <c r="A63">
        <v>2016</v>
      </c>
      <c r="B63" t="s">
        <v>229</v>
      </c>
      <c r="C63" t="s">
        <v>204</v>
      </c>
      <c r="D63">
        <v>38</v>
      </c>
    </row>
    <row r="64" spans="1:4" x14ac:dyDescent="0.25">
      <c r="A64">
        <v>2016</v>
      </c>
      <c r="B64" t="s">
        <v>229</v>
      </c>
      <c r="C64" t="s">
        <v>205</v>
      </c>
      <c r="D64">
        <v>53</v>
      </c>
    </row>
    <row r="65" spans="1:4" x14ac:dyDescent="0.25">
      <c r="A65">
        <v>2017</v>
      </c>
      <c r="B65" t="s">
        <v>227</v>
      </c>
      <c r="C65" t="s">
        <v>203</v>
      </c>
      <c r="D65">
        <v>55000</v>
      </c>
    </row>
    <row r="66" spans="1:4" x14ac:dyDescent="0.25">
      <c r="A66">
        <v>2017</v>
      </c>
      <c r="B66" t="s">
        <v>227</v>
      </c>
      <c r="C66" t="s">
        <v>204</v>
      </c>
      <c r="D66">
        <v>45000</v>
      </c>
    </row>
    <row r="67" spans="1:4" x14ac:dyDescent="0.25">
      <c r="A67">
        <v>2017</v>
      </c>
      <c r="B67" t="s">
        <v>227</v>
      </c>
      <c r="C67" t="s">
        <v>205</v>
      </c>
      <c r="D67">
        <v>73000</v>
      </c>
    </row>
    <row r="68" spans="1:4" x14ac:dyDescent="0.25">
      <c r="A68">
        <v>2017</v>
      </c>
      <c r="B68" t="s">
        <v>228</v>
      </c>
      <c r="C68" t="s">
        <v>203</v>
      </c>
      <c r="D68">
        <v>73000</v>
      </c>
    </row>
    <row r="69" spans="1:4" x14ac:dyDescent="0.25">
      <c r="A69">
        <v>2017</v>
      </c>
      <c r="B69" t="s">
        <v>228</v>
      </c>
      <c r="C69" t="s">
        <v>204</v>
      </c>
      <c r="D69">
        <v>58000</v>
      </c>
    </row>
    <row r="70" spans="1:4" x14ac:dyDescent="0.25">
      <c r="A70">
        <v>2017</v>
      </c>
      <c r="B70" t="s">
        <v>228</v>
      </c>
      <c r="C70" t="s">
        <v>205</v>
      </c>
      <c r="D70">
        <v>96000</v>
      </c>
    </row>
    <row r="71" spans="1:4" x14ac:dyDescent="0.25">
      <c r="A71">
        <v>2017</v>
      </c>
      <c r="B71" t="s">
        <v>229</v>
      </c>
      <c r="C71" t="s">
        <v>203</v>
      </c>
      <c r="D71">
        <v>49</v>
      </c>
    </row>
    <row r="72" spans="1:4" x14ac:dyDescent="0.25">
      <c r="A72">
        <v>2017</v>
      </c>
      <c r="B72" t="s">
        <v>229</v>
      </c>
      <c r="C72" t="s">
        <v>204</v>
      </c>
      <c r="D72">
        <v>41</v>
      </c>
    </row>
    <row r="73" spans="1:4" x14ac:dyDescent="0.25">
      <c r="A73">
        <v>2017</v>
      </c>
      <c r="B73" t="s">
        <v>229</v>
      </c>
      <c r="C73" t="s">
        <v>205</v>
      </c>
      <c r="D73">
        <v>57</v>
      </c>
    </row>
    <row r="74" spans="1:4" x14ac:dyDescent="0.25">
      <c r="A74">
        <v>2018</v>
      </c>
      <c r="B74" t="s">
        <v>227</v>
      </c>
      <c r="C74" t="s">
        <v>203</v>
      </c>
      <c r="D74">
        <v>57000</v>
      </c>
    </row>
    <row r="75" spans="1:4" x14ac:dyDescent="0.25">
      <c r="A75">
        <v>2018</v>
      </c>
      <c r="B75" t="s">
        <v>227</v>
      </c>
      <c r="C75" t="s">
        <v>204</v>
      </c>
      <c r="D75">
        <v>46000</v>
      </c>
    </row>
    <row r="76" spans="1:4" x14ac:dyDescent="0.25">
      <c r="A76">
        <v>2018</v>
      </c>
      <c r="B76" t="s">
        <v>227</v>
      </c>
      <c r="C76" t="s">
        <v>205</v>
      </c>
      <c r="D76">
        <v>76000</v>
      </c>
    </row>
    <row r="77" spans="1:4" x14ac:dyDescent="0.25">
      <c r="A77">
        <v>2018</v>
      </c>
      <c r="B77" t="s">
        <v>228</v>
      </c>
      <c r="C77" t="s">
        <v>203</v>
      </c>
      <c r="D77">
        <v>70000</v>
      </c>
    </row>
    <row r="78" spans="1:4" x14ac:dyDescent="0.25">
      <c r="A78">
        <v>2018</v>
      </c>
      <c r="B78" t="s">
        <v>228</v>
      </c>
      <c r="C78" t="s">
        <v>204</v>
      </c>
      <c r="D78">
        <v>55000</v>
      </c>
    </row>
    <row r="79" spans="1:4" x14ac:dyDescent="0.25">
      <c r="A79">
        <v>2018</v>
      </c>
      <c r="B79" t="s">
        <v>228</v>
      </c>
      <c r="C79" t="s">
        <v>205</v>
      </c>
      <c r="D79">
        <v>91000</v>
      </c>
    </row>
    <row r="80" spans="1:4" x14ac:dyDescent="0.25">
      <c r="A80">
        <v>2018</v>
      </c>
      <c r="B80" t="s">
        <v>229</v>
      </c>
      <c r="C80" t="s">
        <v>203</v>
      </c>
      <c r="D80">
        <v>49</v>
      </c>
    </row>
    <row r="81" spans="1:4" x14ac:dyDescent="0.25">
      <c r="A81">
        <v>2018</v>
      </c>
      <c r="B81" t="s">
        <v>229</v>
      </c>
      <c r="C81" t="s">
        <v>204</v>
      </c>
      <c r="D81">
        <v>42</v>
      </c>
    </row>
    <row r="82" spans="1:4" x14ac:dyDescent="0.25">
      <c r="A82">
        <v>2018</v>
      </c>
      <c r="B82" t="s">
        <v>229</v>
      </c>
      <c r="C82" t="s">
        <v>205</v>
      </c>
      <c r="D82">
        <v>57</v>
      </c>
    </row>
    <row r="83" spans="1:4" x14ac:dyDescent="0.25">
      <c r="A83">
        <v>2019</v>
      </c>
      <c r="B83" t="s">
        <v>227</v>
      </c>
      <c r="C83" t="s">
        <v>203</v>
      </c>
      <c r="D83">
        <v>57000</v>
      </c>
    </row>
    <row r="84" spans="1:4" x14ac:dyDescent="0.25">
      <c r="A84">
        <v>2019</v>
      </c>
      <c r="B84" t="s">
        <v>227</v>
      </c>
      <c r="C84" t="s">
        <v>204</v>
      </c>
      <c r="D84">
        <v>46000</v>
      </c>
    </row>
    <row r="85" spans="1:4" x14ac:dyDescent="0.25">
      <c r="A85">
        <v>2019</v>
      </c>
      <c r="B85" t="s">
        <v>227</v>
      </c>
      <c r="C85" t="s">
        <v>205</v>
      </c>
      <c r="D85">
        <v>75000</v>
      </c>
    </row>
    <row r="86" spans="1:4" x14ac:dyDescent="0.25">
      <c r="A86">
        <v>2019</v>
      </c>
      <c r="B86" t="s">
        <v>228</v>
      </c>
      <c r="C86" t="s">
        <v>203</v>
      </c>
      <c r="D86">
        <v>66000</v>
      </c>
    </row>
    <row r="87" spans="1:4" x14ac:dyDescent="0.25">
      <c r="A87">
        <v>2019</v>
      </c>
      <c r="B87" t="s">
        <v>228</v>
      </c>
      <c r="C87" t="s">
        <v>204</v>
      </c>
      <c r="D87">
        <v>52000</v>
      </c>
    </row>
    <row r="88" spans="1:4" x14ac:dyDescent="0.25">
      <c r="A88">
        <v>2019</v>
      </c>
      <c r="B88" t="s">
        <v>228</v>
      </c>
      <c r="C88" t="s">
        <v>205</v>
      </c>
      <c r="D88">
        <v>86000</v>
      </c>
    </row>
    <row r="89" spans="1:4" x14ac:dyDescent="0.25">
      <c r="A89">
        <v>2019</v>
      </c>
      <c r="B89" t="s">
        <v>229</v>
      </c>
      <c r="C89" t="s">
        <v>203</v>
      </c>
      <c r="D89">
        <v>56</v>
      </c>
    </row>
    <row r="90" spans="1:4" x14ac:dyDescent="0.25">
      <c r="A90">
        <v>2019</v>
      </c>
      <c r="B90" t="s">
        <v>229</v>
      </c>
      <c r="C90" t="s">
        <v>204</v>
      </c>
      <c r="D90">
        <v>47</v>
      </c>
    </row>
    <row r="91" spans="1:4" x14ac:dyDescent="0.25">
      <c r="A91">
        <v>2019</v>
      </c>
      <c r="B91" t="s">
        <v>229</v>
      </c>
      <c r="C91" t="s">
        <v>205</v>
      </c>
      <c r="D91">
        <v>64</v>
      </c>
    </row>
    <row r="92" spans="1:4" x14ac:dyDescent="0.25">
      <c r="A92">
        <v>2020</v>
      </c>
      <c r="B92" t="s">
        <v>227</v>
      </c>
      <c r="C92" t="s">
        <v>203</v>
      </c>
      <c r="D92">
        <v>50000</v>
      </c>
    </row>
    <row r="93" spans="1:4" x14ac:dyDescent="0.25">
      <c r="A93">
        <v>2020</v>
      </c>
      <c r="B93" t="s">
        <v>227</v>
      </c>
      <c r="C93" t="s">
        <v>204</v>
      </c>
      <c r="D93">
        <v>41000</v>
      </c>
    </row>
    <row r="94" spans="1:4" x14ac:dyDescent="0.25">
      <c r="A94">
        <v>2020</v>
      </c>
      <c r="B94" t="s">
        <v>227</v>
      </c>
      <c r="C94" t="s">
        <v>205</v>
      </c>
      <c r="D94">
        <v>66000</v>
      </c>
    </row>
    <row r="95" spans="1:4" x14ac:dyDescent="0.25">
      <c r="A95">
        <v>2020</v>
      </c>
      <c r="B95" t="s">
        <v>228</v>
      </c>
      <c r="C95" t="s">
        <v>203</v>
      </c>
      <c r="D95">
        <v>58000</v>
      </c>
    </row>
    <row r="96" spans="1:4" x14ac:dyDescent="0.25">
      <c r="A96">
        <v>2020</v>
      </c>
      <c r="B96" t="s">
        <v>228</v>
      </c>
      <c r="C96" t="s">
        <v>204</v>
      </c>
      <c r="D96">
        <v>44000</v>
      </c>
    </row>
    <row r="97" spans="1:4" x14ac:dyDescent="0.25">
      <c r="A97">
        <v>2020</v>
      </c>
      <c r="B97" t="s">
        <v>228</v>
      </c>
      <c r="C97" t="s">
        <v>205</v>
      </c>
      <c r="D97">
        <v>77000</v>
      </c>
    </row>
    <row r="98" spans="1:4" x14ac:dyDescent="0.25">
      <c r="A98">
        <v>2020</v>
      </c>
      <c r="B98" t="s">
        <v>229</v>
      </c>
      <c r="C98" t="s">
        <v>203</v>
      </c>
      <c r="D98">
        <v>62</v>
      </c>
    </row>
    <row r="99" spans="1:4" x14ac:dyDescent="0.25">
      <c r="A99">
        <v>2020</v>
      </c>
      <c r="B99" t="s">
        <v>229</v>
      </c>
      <c r="C99" t="s">
        <v>204</v>
      </c>
      <c r="D99">
        <v>52</v>
      </c>
    </row>
    <row r="100" spans="1:4" x14ac:dyDescent="0.25">
      <c r="A100">
        <v>2020</v>
      </c>
      <c r="B100" t="s">
        <v>229</v>
      </c>
      <c r="C100" t="s">
        <v>205</v>
      </c>
      <c r="D100">
        <v>72</v>
      </c>
    </row>
    <row r="101" spans="1:4" x14ac:dyDescent="0.25">
      <c r="A101">
        <v>2021</v>
      </c>
      <c r="B101" t="s">
        <v>227</v>
      </c>
      <c r="C101" t="s">
        <v>203</v>
      </c>
      <c r="D101">
        <v>43000</v>
      </c>
    </row>
    <row r="102" spans="1:4" x14ac:dyDescent="0.25">
      <c r="A102">
        <v>2021</v>
      </c>
      <c r="B102" t="s">
        <v>227</v>
      </c>
      <c r="C102" t="s">
        <v>204</v>
      </c>
      <c r="D102">
        <v>35000</v>
      </c>
    </row>
    <row r="103" spans="1:4" x14ac:dyDescent="0.25">
      <c r="A103">
        <v>2021</v>
      </c>
      <c r="B103" t="s">
        <v>227</v>
      </c>
      <c r="C103" t="s">
        <v>205</v>
      </c>
      <c r="D103">
        <v>58000</v>
      </c>
    </row>
    <row r="104" spans="1:4" x14ac:dyDescent="0.25">
      <c r="A104">
        <v>2021</v>
      </c>
      <c r="B104" t="s">
        <v>228</v>
      </c>
      <c r="C104" t="s">
        <v>203</v>
      </c>
      <c r="D104">
        <v>53000</v>
      </c>
    </row>
    <row r="105" spans="1:4" x14ac:dyDescent="0.25">
      <c r="A105">
        <v>2021</v>
      </c>
      <c r="B105" t="s">
        <v>228</v>
      </c>
      <c r="C105" t="s">
        <v>204</v>
      </c>
      <c r="D105">
        <v>40000</v>
      </c>
    </row>
    <row r="106" spans="1:4" x14ac:dyDescent="0.25">
      <c r="A106">
        <v>2021</v>
      </c>
      <c r="B106" t="s">
        <v>228</v>
      </c>
      <c r="C106" t="s">
        <v>205</v>
      </c>
      <c r="D106">
        <v>72000</v>
      </c>
    </row>
    <row r="107" spans="1:4" x14ac:dyDescent="0.25">
      <c r="A107">
        <v>2021</v>
      </c>
      <c r="B107" t="s">
        <v>229</v>
      </c>
      <c r="C107" t="s">
        <v>203</v>
      </c>
      <c r="D107">
        <v>68</v>
      </c>
    </row>
    <row r="108" spans="1:4" x14ac:dyDescent="0.25">
      <c r="A108">
        <v>2021</v>
      </c>
      <c r="B108" t="s">
        <v>229</v>
      </c>
      <c r="C108" t="s">
        <v>204</v>
      </c>
      <c r="D108">
        <v>57</v>
      </c>
    </row>
    <row r="109" spans="1:4" x14ac:dyDescent="0.25">
      <c r="A109">
        <v>2021</v>
      </c>
      <c r="B109" t="s">
        <v>229</v>
      </c>
      <c r="C109" t="s">
        <v>205</v>
      </c>
      <c r="D109">
        <v>79</v>
      </c>
    </row>
    <row r="110" spans="1:4" x14ac:dyDescent="0.25">
      <c r="A110">
        <v>2022</v>
      </c>
      <c r="B110" t="s">
        <v>227</v>
      </c>
      <c r="C110" t="s">
        <v>203</v>
      </c>
      <c r="D110">
        <v>38000</v>
      </c>
    </row>
    <row r="111" spans="1:4" x14ac:dyDescent="0.25">
      <c r="A111">
        <v>2022</v>
      </c>
      <c r="B111" t="s">
        <v>227</v>
      </c>
      <c r="C111" t="s">
        <v>204</v>
      </c>
      <c r="D111">
        <v>31000</v>
      </c>
    </row>
    <row r="112" spans="1:4" x14ac:dyDescent="0.25">
      <c r="A112">
        <v>2022</v>
      </c>
      <c r="B112" t="s">
        <v>227</v>
      </c>
      <c r="C112" t="s">
        <v>205</v>
      </c>
      <c r="D112">
        <v>51000</v>
      </c>
    </row>
    <row r="113" spans="1:4" x14ac:dyDescent="0.25">
      <c r="A113">
        <v>2022</v>
      </c>
      <c r="B113" t="s">
        <v>228</v>
      </c>
      <c r="C113" t="s">
        <v>203</v>
      </c>
      <c r="D113">
        <v>44000</v>
      </c>
    </row>
    <row r="114" spans="1:4" x14ac:dyDescent="0.25">
      <c r="A114">
        <v>2022</v>
      </c>
      <c r="B114" t="s">
        <v>228</v>
      </c>
      <c r="C114" t="s">
        <v>204</v>
      </c>
      <c r="D114">
        <v>33000</v>
      </c>
    </row>
    <row r="115" spans="1:4" x14ac:dyDescent="0.25">
      <c r="A115">
        <v>2022</v>
      </c>
      <c r="B115" t="s">
        <v>228</v>
      </c>
      <c r="C115" t="s">
        <v>205</v>
      </c>
      <c r="D115">
        <v>61000</v>
      </c>
    </row>
    <row r="116" spans="1:4" x14ac:dyDescent="0.25">
      <c r="A116">
        <v>2022</v>
      </c>
      <c r="B116" t="s">
        <v>229</v>
      </c>
      <c r="C116" t="s">
        <v>203</v>
      </c>
      <c r="D116">
        <v>75</v>
      </c>
    </row>
    <row r="117" spans="1:4" x14ac:dyDescent="0.25">
      <c r="A117">
        <v>2022</v>
      </c>
      <c r="B117" t="s">
        <v>229</v>
      </c>
      <c r="C117" t="s">
        <v>204</v>
      </c>
      <c r="D117">
        <v>62</v>
      </c>
    </row>
    <row r="118" spans="1:4" x14ac:dyDescent="0.25">
      <c r="A118">
        <v>2022</v>
      </c>
      <c r="B118" t="s">
        <v>229</v>
      </c>
      <c r="C118" t="s">
        <v>205</v>
      </c>
      <c r="D118">
        <v>86</v>
      </c>
    </row>
    <row r="119" spans="1:4" x14ac:dyDescent="0.25">
      <c r="A119">
        <v>2023</v>
      </c>
      <c r="B119" t="s">
        <v>227</v>
      </c>
      <c r="C119" t="s">
        <v>203</v>
      </c>
      <c r="D119">
        <v>34000</v>
      </c>
    </row>
    <row r="120" spans="1:4" x14ac:dyDescent="0.25">
      <c r="A120">
        <v>2023</v>
      </c>
      <c r="B120" t="s">
        <v>227</v>
      </c>
      <c r="C120" t="s">
        <v>204</v>
      </c>
      <c r="D120">
        <v>28000</v>
      </c>
    </row>
    <row r="121" spans="1:4" x14ac:dyDescent="0.25">
      <c r="A121">
        <v>2023</v>
      </c>
      <c r="B121" t="s">
        <v>227</v>
      </c>
      <c r="C121" t="s">
        <v>205</v>
      </c>
      <c r="D121">
        <v>43000</v>
      </c>
    </row>
    <row r="122" spans="1:4" x14ac:dyDescent="0.25">
      <c r="A122">
        <v>2023</v>
      </c>
      <c r="B122" t="s">
        <v>228</v>
      </c>
      <c r="C122" t="s">
        <v>203</v>
      </c>
      <c r="D122">
        <v>41000</v>
      </c>
    </row>
    <row r="123" spans="1:4" x14ac:dyDescent="0.25">
      <c r="A123">
        <v>2023</v>
      </c>
      <c r="B123" t="s">
        <v>228</v>
      </c>
      <c r="C123" t="s">
        <v>204</v>
      </c>
      <c r="D123">
        <v>30000</v>
      </c>
    </row>
    <row r="124" spans="1:4" x14ac:dyDescent="0.25">
      <c r="A124">
        <v>2023</v>
      </c>
      <c r="B124" t="s">
        <v>228</v>
      </c>
      <c r="C124" t="s">
        <v>205</v>
      </c>
      <c r="D124">
        <v>57000</v>
      </c>
    </row>
    <row r="125" spans="1:4" x14ac:dyDescent="0.25">
      <c r="A125">
        <v>2023</v>
      </c>
      <c r="B125" t="s">
        <v>229</v>
      </c>
      <c r="C125" t="s">
        <v>203</v>
      </c>
      <c r="D125">
        <v>81</v>
      </c>
    </row>
    <row r="126" spans="1:4" x14ac:dyDescent="0.25">
      <c r="A126">
        <v>2023</v>
      </c>
      <c r="B126" t="s">
        <v>229</v>
      </c>
      <c r="C126" t="s">
        <v>204</v>
      </c>
      <c r="D126">
        <v>67</v>
      </c>
    </row>
    <row r="127" spans="1:4" x14ac:dyDescent="0.25">
      <c r="A127">
        <v>2023</v>
      </c>
      <c r="B127" t="s">
        <v>229</v>
      </c>
      <c r="C127" t="s">
        <v>205</v>
      </c>
      <c r="D127">
        <v>94</v>
      </c>
    </row>
    <row r="128" spans="1:4" x14ac:dyDescent="0.25">
      <c r="A128">
        <v>2024</v>
      </c>
      <c r="B128" t="s">
        <v>227</v>
      </c>
      <c r="C128" t="s">
        <v>203</v>
      </c>
      <c r="D128">
        <v>30000</v>
      </c>
    </row>
    <row r="129" spans="1:4" x14ac:dyDescent="0.25">
      <c r="A129">
        <v>2024</v>
      </c>
      <c r="B129" t="s">
        <v>227</v>
      </c>
      <c r="C129" t="s">
        <v>204</v>
      </c>
      <c r="D129">
        <v>25000</v>
      </c>
    </row>
    <row r="130" spans="1:4" x14ac:dyDescent="0.25">
      <c r="A130">
        <v>2024</v>
      </c>
      <c r="B130" t="s">
        <v>227</v>
      </c>
      <c r="C130" t="s">
        <v>205</v>
      </c>
      <c r="D130">
        <v>38000</v>
      </c>
    </row>
    <row r="131" spans="1:4" x14ac:dyDescent="0.25">
      <c r="A131">
        <v>2024</v>
      </c>
      <c r="B131" t="s">
        <v>228</v>
      </c>
      <c r="C131" t="s">
        <v>203</v>
      </c>
      <c r="D131">
        <v>31000</v>
      </c>
    </row>
    <row r="132" spans="1:4" x14ac:dyDescent="0.25">
      <c r="A132">
        <v>2024</v>
      </c>
      <c r="B132" t="s">
        <v>228</v>
      </c>
      <c r="C132" t="s">
        <v>204</v>
      </c>
      <c r="D132">
        <v>21000</v>
      </c>
    </row>
    <row r="133" spans="1:4" x14ac:dyDescent="0.25">
      <c r="A133">
        <v>2024</v>
      </c>
      <c r="B133" t="s">
        <v>228</v>
      </c>
      <c r="C133" t="s">
        <v>205</v>
      </c>
      <c r="D133">
        <v>44000</v>
      </c>
    </row>
    <row r="134" spans="1:4" x14ac:dyDescent="0.25">
      <c r="A134">
        <v>2024</v>
      </c>
      <c r="B134" t="s">
        <v>229</v>
      </c>
      <c r="C134" t="s">
        <v>203</v>
      </c>
      <c r="D134">
        <v>87</v>
      </c>
    </row>
    <row r="135" spans="1:4" x14ac:dyDescent="0.25">
      <c r="A135">
        <v>2024</v>
      </c>
      <c r="B135" t="s">
        <v>229</v>
      </c>
      <c r="C135" t="s">
        <v>204</v>
      </c>
      <c r="D135">
        <v>72</v>
      </c>
    </row>
    <row r="136" spans="1:4" x14ac:dyDescent="0.25">
      <c r="A136">
        <v>2024</v>
      </c>
      <c r="B136" t="s">
        <v>229</v>
      </c>
      <c r="C136" t="s">
        <v>205</v>
      </c>
      <c r="D136">
        <v>95</v>
      </c>
    </row>
  </sheetData>
  <sheetProtection algorithmName="SHA-512" hashValue="rqI0tjQePoOzLtmlf5BrFdP1GYyR1XvBAKodg6MwCQIrP/seYOtdw7CESNH059g/G1B9lbtNLz47H+x2w/zyzw==" saltValue="MDclZzjVYb5tSl1bt6FSrg==" spinCount="100000" sheet="1" objects="1" scenarios="1" selectLockedCell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7B43-E43B-4510-93B9-F076282F2798}">
  <sheetPr>
    <pageSetUpPr fitToPage="1"/>
  </sheetPr>
  <dimension ref="B2:V285"/>
  <sheetViews>
    <sheetView showGridLines="0" topLeftCell="A133" zoomScale="80" zoomScaleNormal="80" workbookViewId="0">
      <selection activeCell="E127" sqref="E127"/>
    </sheetView>
  </sheetViews>
  <sheetFormatPr defaultRowHeight="15" x14ac:dyDescent="0.25"/>
  <cols>
    <col min="1" max="1" width="8.5703125" customWidth="1"/>
    <col min="2" max="2" width="13.140625" customWidth="1"/>
    <col min="3" max="4" width="19.5703125" bestFit="1" customWidth="1"/>
    <col min="5" max="5" width="19.140625" customWidth="1"/>
    <col min="6" max="6" width="21.42578125" bestFit="1" customWidth="1"/>
    <col min="7" max="7" width="10" bestFit="1" customWidth="1"/>
    <col min="10" max="10" width="12.7109375" bestFit="1" customWidth="1"/>
    <col min="11" max="11" width="20.28515625" bestFit="1" customWidth="1"/>
    <col min="12" max="12" width="12.140625" customWidth="1"/>
    <col min="13" max="13" width="13.5703125" customWidth="1"/>
    <col min="14" max="14" width="15.140625" customWidth="1"/>
  </cols>
  <sheetData>
    <row r="2" spans="2:19" ht="18.75" x14ac:dyDescent="0.3">
      <c r="B2" s="84" t="s">
        <v>248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</row>
    <row r="4" spans="2:19" ht="18.75" x14ac:dyDescent="0.3">
      <c r="C4" s="48"/>
      <c r="D4" s="84" t="s">
        <v>267</v>
      </c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</row>
    <row r="5" spans="2:19" x14ac:dyDescent="0.25">
      <c r="B5" s="48"/>
      <c r="C5" s="48"/>
      <c r="D5" s="48"/>
    </row>
    <row r="6" spans="2:19" ht="18.75" x14ac:dyDescent="0.3">
      <c r="B6" s="80" t="s">
        <v>232</v>
      </c>
      <c r="C6" s="80"/>
      <c r="D6" s="80"/>
      <c r="E6" s="80"/>
      <c r="F6" s="80"/>
      <c r="G6" s="80"/>
    </row>
    <row r="7" spans="2:19" x14ac:dyDescent="0.25">
      <c r="B7" s="133" t="s">
        <v>289</v>
      </c>
      <c r="C7" s="134" t="s">
        <v>228</v>
      </c>
    </row>
    <row r="8" spans="2:19" x14ac:dyDescent="0.25">
      <c r="B8" s="133" t="s">
        <v>225</v>
      </c>
      <c r="C8" s="135" t="s">
        <v>203</v>
      </c>
    </row>
    <row r="10" spans="2:19" x14ac:dyDescent="0.25">
      <c r="B10" s="28" t="s">
        <v>222</v>
      </c>
      <c r="C10" s="59" t="s">
        <v>290</v>
      </c>
    </row>
    <row r="11" spans="2:19" x14ac:dyDescent="0.25">
      <c r="B11" s="29">
        <v>2010</v>
      </c>
      <c r="C11" s="60">
        <v>110000</v>
      </c>
    </row>
    <row r="12" spans="2:19" x14ac:dyDescent="0.25">
      <c r="B12" s="29">
        <v>2011</v>
      </c>
      <c r="C12" s="60">
        <v>110000</v>
      </c>
    </row>
    <row r="13" spans="2:19" x14ac:dyDescent="0.25">
      <c r="B13" s="29">
        <v>2012</v>
      </c>
      <c r="C13" s="60">
        <v>100000</v>
      </c>
    </row>
    <row r="14" spans="2:19" x14ac:dyDescent="0.25">
      <c r="B14" s="29">
        <v>2013</v>
      </c>
      <c r="C14" s="60">
        <v>94000</v>
      </c>
    </row>
    <row r="15" spans="2:19" x14ac:dyDescent="0.25">
      <c r="B15" s="29">
        <v>2014</v>
      </c>
      <c r="C15" s="60">
        <v>90000</v>
      </c>
    </row>
    <row r="16" spans="2:19" x14ac:dyDescent="0.25">
      <c r="B16" s="29">
        <v>2015</v>
      </c>
      <c r="C16" s="60">
        <v>86000</v>
      </c>
    </row>
    <row r="17" spans="2:15" x14ac:dyDescent="0.25">
      <c r="B17" s="29">
        <v>2016</v>
      </c>
      <c r="C17" s="60">
        <v>79000</v>
      </c>
    </row>
    <row r="18" spans="2:15" x14ac:dyDescent="0.25">
      <c r="B18" s="29">
        <v>2017</v>
      </c>
      <c r="C18" s="60">
        <v>73000</v>
      </c>
    </row>
    <row r="19" spans="2:15" x14ac:dyDescent="0.25">
      <c r="B19" s="29">
        <v>2018</v>
      </c>
      <c r="C19" s="60">
        <v>70000</v>
      </c>
    </row>
    <row r="20" spans="2:15" x14ac:dyDescent="0.25">
      <c r="B20" s="29">
        <v>2019</v>
      </c>
      <c r="C20" s="60">
        <v>66000</v>
      </c>
    </row>
    <row r="21" spans="2:15" x14ac:dyDescent="0.25">
      <c r="B21" s="29">
        <v>2020</v>
      </c>
      <c r="C21" s="60">
        <v>58000</v>
      </c>
    </row>
    <row r="22" spans="2:15" x14ac:dyDescent="0.25">
      <c r="B22" s="29">
        <v>2021</v>
      </c>
      <c r="C22" s="60">
        <v>53000</v>
      </c>
    </row>
    <row r="23" spans="2:15" x14ac:dyDescent="0.25">
      <c r="B23" s="29">
        <v>2022</v>
      </c>
      <c r="C23" s="60">
        <v>44000</v>
      </c>
    </row>
    <row r="24" spans="2:15" x14ac:dyDescent="0.25">
      <c r="B24" s="29">
        <v>2023</v>
      </c>
      <c r="C24" s="60">
        <v>41000</v>
      </c>
    </row>
    <row r="25" spans="2:15" x14ac:dyDescent="0.25">
      <c r="B25" s="29">
        <v>2024</v>
      </c>
      <c r="C25" s="60">
        <v>31000</v>
      </c>
    </row>
    <row r="27" spans="2:15" x14ac:dyDescent="0.25">
      <c r="E27" s="78" t="s">
        <v>233</v>
      </c>
      <c r="F27" s="78"/>
      <c r="G27" s="78"/>
      <c r="H27" s="78"/>
      <c r="I27" s="78"/>
      <c r="J27" s="78"/>
      <c r="K27" s="78"/>
      <c r="L27" s="78"/>
      <c r="M27" s="78"/>
      <c r="N27" s="78"/>
      <c r="O27" s="78"/>
    </row>
    <row r="28" spans="2:15" x14ac:dyDescent="0.25"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</row>
    <row r="29" spans="2:15" x14ac:dyDescent="0.25"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</row>
    <row r="32" spans="2:15" ht="18.75" x14ac:dyDescent="0.3">
      <c r="B32" s="80" t="s">
        <v>265</v>
      </c>
      <c r="C32" s="80"/>
      <c r="D32" s="80"/>
      <c r="E32" s="80"/>
      <c r="F32" s="80"/>
      <c r="G32" s="80"/>
    </row>
    <row r="33" spans="2:15" ht="18.75" x14ac:dyDescent="0.3"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</row>
    <row r="34" spans="2:15" x14ac:dyDescent="0.25">
      <c r="B34" s="89" t="s">
        <v>237</v>
      </c>
      <c r="C34" s="90"/>
      <c r="D34" s="90"/>
      <c r="E34" s="95" t="s">
        <v>234</v>
      </c>
      <c r="F34" s="95" t="s">
        <v>235</v>
      </c>
      <c r="G34" s="99" t="s">
        <v>238</v>
      </c>
      <c r="H34" s="99"/>
      <c r="I34" s="99"/>
      <c r="J34" s="99"/>
      <c r="K34" s="95" t="s">
        <v>236</v>
      </c>
      <c r="L34" s="97"/>
    </row>
    <row r="35" spans="2:15" x14ac:dyDescent="0.25">
      <c r="B35" s="91"/>
      <c r="C35" s="92"/>
      <c r="D35" s="92"/>
      <c r="E35" s="96"/>
      <c r="F35" s="96"/>
      <c r="G35" s="100" t="s">
        <v>239</v>
      </c>
      <c r="H35" s="100"/>
      <c r="I35" s="100"/>
      <c r="J35" s="100"/>
      <c r="K35" s="96"/>
      <c r="L35" s="98"/>
    </row>
    <row r="37" spans="2:15" x14ac:dyDescent="0.25">
      <c r="B37" s="28" t="s">
        <v>289</v>
      </c>
      <c r="C37" s="34" t="s">
        <v>228</v>
      </c>
    </row>
    <row r="38" spans="2:15" x14ac:dyDescent="0.25">
      <c r="N38" s="30"/>
    </row>
    <row r="39" spans="2:15" ht="15" customHeight="1" x14ac:dyDescent="0.25">
      <c r="B39" s="28" t="s">
        <v>231</v>
      </c>
      <c r="C39" s="28" t="s">
        <v>225</v>
      </c>
    </row>
    <row r="40" spans="2:15" ht="15" customHeight="1" x14ac:dyDescent="0.25">
      <c r="B40" s="28" t="s">
        <v>222</v>
      </c>
      <c r="C40" s="29" t="s">
        <v>203</v>
      </c>
    </row>
    <row r="41" spans="2:15" x14ac:dyDescent="0.25">
      <c r="B41" s="29">
        <v>2010</v>
      </c>
      <c r="C41" s="60">
        <v>110000</v>
      </c>
      <c r="E41" s="110" t="s">
        <v>240</v>
      </c>
      <c r="F41" s="112" t="s">
        <v>235</v>
      </c>
      <c r="G41" s="38" t="s">
        <v>241</v>
      </c>
      <c r="H41" s="112" t="s">
        <v>236</v>
      </c>
      <c r="I41" s="112" t="s">
        <v>235</v>
      </c>
      <c r="J41" s="114">
        <f>(GETPIVOTDATA("Value",$B$39,"Year",2010,"Type","Estimate")-GETPIVOTDATA("Value",$B$39,"Year",2024,"Type","Estimate"))/GETPIVOTDATA("Value",$B$39,"Year",2010,"Type","Estimate")</f>
        <v>0.71818181818181814</v>
      </c>
    </row>
    <row r="42" spans="2:15" x14ac:dyDescent="0.25">
      <c r="B42" s="29">
        <v>2024</v>
      </c>
      <c r="C42" s="60">
        <v>31000</v>
      </c>
      <c r="E42" s="111"/>
      <c r="F42" s="113"/>
      <c r="G42" s="38" t="s">
        <v>242</v>
      </c>
      <c r="H42" s="113"/>
      <c r="I42" s="113"/>
      <c r="J42" s="115"/>
    </row>
    <row r="44" spans="2:15" x14ac:dyDescent="0.25">
      <c r="B44" s="89" t="s">
        <v>243</v>
      </c>
      <c r="C44" s="90"/>
      <c r="D44" s="90"/>
      <c r="E44" s="93" t="s">
        <v>244</v>
      </c>
      <c r="F44" s="95" t="s">
        <v>235</v>
      </c>
      <c r="G44" s="95" t="s">
        <v>245</v>
      </c>
      <c r="H44" s="95"/>
      <c r="I44" s="95"/>
      <c r="J44" s="97"/>
    </row>
    <row r="45" spans="2:15" x14ac:dyDescent="0.25">
      <c r="B45" s="91"/>
      <c r="C45" s="92"/>
      <c r="D45" s="92"/>
      <c r="E45" s="94"/>
      <c r="F45" s="96"/>
      <c r="G45" s="96"/>
      <c r="H45" s="96"/>
      <c r="I45" s="96"/>
      <c r="J45" s="98"/>
    </row>
    <row r="46" spans="2:15" x14ac:dyDescent="0.25">
      <c r="E46" s="101" t="s">
        <v>258</v>
      </c>
      <c r="F46" s="102"/>
      <c r="G46" s="102"/>
      <c r="H46" s="102"/>
      <c r="I46" s="102"/>
      <c r="J46" s="103"/>
    </row>
    <row r="47" spans="2:15" x14ac:dyDescent="0.25">
      <c r="B47" s="133" t="s">
        <v>289</v>
      </c>
      <c r="C47" s="134" t="s">
        <v>228</v>
      </c>
      <c r="E47" s="104" t="s">
        <v>259</v>
      </c>
      <c r="F47" s="105"/>
      <c r="G47" s="105"/>
      <c r="H47" s="105"/>
      <c r="I47" s="105"/>
      <c r="J47" s="106"/>
    </row>
    <row r="48" spans="2:15" x14ac:dyDescent="0.25">
      <c r="E48" s="107" t="s">
        <v>246</v>
      </c>
      <c r="F48" s="108"/>
      <c r="G48" s="108"/>
      <c r="H48" s="108"/>
      <c r="I48" s="108"/>
      <c r="J48" s="109"/>
    </row>
    <row r="49" spans="2:15" ht="15.75" x14ac:dyDescent="0.25">
      <c r="B49" s="28" t="s">
        <v>231</v>
      </c>
      <c r="C49" s="28" t="s">
        <v>225</v>
      </c>
      <c r="E49" s="39"/>
      <c r="F49" s="40"/>
      <c r="G49" s="40"/>
      <c r="H49" s="40"/>
      <c r="I49" s="40"/>
    </row>
    <row r="50" spans="2:15" x14ac:dyDescent="0.25">
      <c r="B50" s="28" t="s">
        <v>222</v>
      </c>
      <c r="C50" s="29" t="s">
        <v>203</v>
      </c>
      <c r="D50" s="27"/>
      <c r="E50" s="116" t="s">
        <v>244</v>
      </c>
      <c r="F50" s="118" t="s">
        <v>235</v>
      </c>
      <c r="G50" s="114">
        <f xml:space="preserve"> (GETPIVOTDATA("Value",$B$49,"Year",2024,"Type","Estimate")/GETPIVOTDATA("Value",$B$49,"Year",2010,"Type","Estimate")) ^ (1/14) - 1</f>
        <v>-8.6492595204904932E-2</v>
      </c>
      <c r="K50" s="27"/>
      <c r="L50" s="27"/>
    </row>
    <row r="51" spans="2:15" x14ac:dyDescent="0.25">
      <c r="B51" s="29">
        <v>2010</v>
      </c>
      <c r="C51" s="60">
        <v>110000</v>
      </c>
      <c r="E51" s="117"/>
      <c r="F51" s="119"/>
      <c r="G51" s="115"/>
    </row>
    <row r="52" spans="2:15" ht="15.75" x14ac:dyDescent="0.25">
      <c r="B52" s="29">
        <v>2024</v>
      </c>
      <c r="C52" s="60">
        <v>31000</v>
      </c>
      <c r="E52" s="39"/>
      <c r="F52" s="40"/>
      <c r="G52" s="40"/>
      <c r="H52" s="40"/>
      <c r="I52" s="40"/>
    </row>
    <row r="53" spans="2:15" x14ac:dyDescent="0.25">
      <c r="B53" s="30"/>
      <c r="C53" s="41"/>
      <c r="H53" s="40"/>
      <c r="I53" s="40"/>
    </row>
    <row r="54" spans="2:15" ht="15.75" customHeight="1" x14ac:dyDescent="0.25">
      <c r="B54" s="30"/>
      <c r="C54" s="41"/>
      <c r="E54" s="78" t="s">
        <v>262</v>
      </c>
      <c r="F54" s="78"/>
      <c r="G54" s="78"/>
      <c r="H54" s="78"/>
      <c r="I54" s="78"/>
      <c r="J54" s="78"/>
      <c r="K54" s="78"/>
      <c r="L54" s="78"/>
      <c r="M54" s="78"/>
      <c r="N54" s="78"/>
      <c r="O54" s="78"/>
    </row>
    <row r="55" spans="2:15" ht="15" customHeight="1" x14ac:dyDescent="0.25">
      <c r="B55" s="30"/>
      <c r="C55" s="41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</row>
    <row r="56" spans="2:15" ht="15" customHeight="1" x14ac:dyDescent="0.25">
      <c r="B56" s="30"/>
      <c r="C56" s="41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</row>
    <row r="59" spans="2:15" ht="18.75" x14ac:dyDescent="0.3">
      <c r="B59" s="80" t="s">
        <v>247</v>
      </c>
      <c r="C59" s="80"/>
      <c r="D59" s="80"/>
      <c r="E59" s="80"/>
      <c r="F59" s="80"/>
      <c r="G59" s="80"/>
      <c r="H59" s="80"/>
    </row>
    <row r="61" spans="2:15" x14ac:dyDescent="0.25">
      <c r="B61" s="133" t="s">
        <v>289</v>
      </c>
      <c r="C61" s="134" t="s">
        <v>228</v>
      </c>
    </row>
    <row r="62" spans="2:15" x14ac:dyDescent="0.25">
      <c r="B62" s="133" t="s">
        <v>225</v>
      </c>
      <c r="C62" s="135" t="s">
        <v>203</v>
      </c>
      <c r="E62" s="42"/>
    </row>
    <row r="64" spans="2:15" x14ac:dyDescent="0.25">
      <c r="B64" s="28" t="s">
        <v>222</v>
      </c>
      <c r="C64" s="56" t="s">
        <v>291</v>
      </c>
    </row>
    <row r="65" spans="2:17" ht="15.75" x14ac:dyDescent="0.25">
      <c r="B65" s="29">
        <v>2010</v>
      </c>
      <c r="C65" s="45"/>
      <c r="D65" s="27"/>
      <c r="E65" s="46"/>
      <c r="F65" s="43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 spans="2:17" x14ac:dyDescent="0.25">
      <c r="B66" s="29">
        <v>2011</v>
      </c>
      <c r="C66" s="45">
        <v>0</v>
      </c>
      <c r="F66" s="44"/>
    </row>
    <row r="67" spans="2:17" x14ac:dyDescent="0.25">
      <c r="B67" s="29">
        <v>2012</v>
      </c>
      <c r="C67" s="45">
        <v>-9.0909090909090912E-2</v>
      </c>
      <c r="F67" s="44"/>
    </row>
    <row r="68" spans="2:17" x14ac:dyDescent="0.25">
      <c r="B68" s="29">
        <v>2013</v>
      </c>
      <c r="C68" s="45">
        <v>-0.06</v>
      </c>
      <c r="F68" s="44"/>
    </row>
    <row r="69" spans="2:17" x14ac:dyDescent="0.25">
      <c r="B69" s="29">
        <v>2014</v>
      </c>
      <c r="C69" s="45">
        <v>-4.2553191489361701E-2</v>
      </c>
      <c r="F69" s="44"/>
    </row>
    <row r="70" spans="2:17" x14ac:dyDescent="0.25">
      <c r="B70" s="29">
        <v>2015</v>
      </c>
      <c r="C70" s="45">
        <v>-4.4444444444444446E-2</v>
      </c>
      <c r="F70" s="44"/>
    </row>
    <row r="71" spans="2:17" x14ac:dyDescent="0.25">
      <c r="B71" s="29">
        <v>2016</v>
      </c>
      <c r="C71" s="45">
        <v>-8.1395348837209308E-2</v>
      </c>
      <c r="F71" s="44"/>
    </row>
    <row r="72" spans="2:17" x14ac:dyDescent="0.25">
      <c r="B72" s="29">
        <v>2017</v>
      </c>
      <c r="C72" s="45">
        <v>-7.5949367088607597E-2</v>
      </c>
      <c r="F72" s="44"/>
    </row>
    <row r="73" spans="2:17" x14ac:dyDescent="0.25">
      <c r="B73" s="29">
        <v>2018</v>
      </c>
      <c r="C73" s="45">
        <v>-4.1095890410958902E-2</v>
      </c>
      <c r="F73" s="44"/>
    </row>
    <row r="74" spans="2:17" x14ac:dyDescent="0.25">
      <c r="B74" s="29">
        <v>2019</v>
      </c>
      <c r="C74" s="45">
        <v>-5.7142857142857141E-2</v>
      </c>
      <c r="F74" s="44"/>
    </row>
    <row r="75" spans="2:17" x14ac:dyDescent="0.25">
      <c r="B75" s="29">
        <v>2020</v>
      </c>
      <c r="C75" s="45">
        <v>-0.12121212121212122</v>
      </c>
      <c r="F75" s="44"/>
    </row>
    <row r="76" spans="2:17" x14ac:dyDescent="0.25">
      <c r="B76" s="29">
        <v>2021</v>
      </c>
      <c r="C76" s="45">
        <v>-8.6206896551724144E-2</v>
      </c>
      <c r="F76" s="44"/>
    </row>
    <row r="77" spans="2:17" x14ac:dyDescent="0.25">
      <c r="B77" s="29">
        <v>2022</v>
      </c>
      <c r="C77" s="45">
        <v>-0.16981132075471697</v>
      </c>
      <c r="F77" s="44"/>
    </row>
    <row r="78" spans="2:17" x14ac:dyDescent="0.25">
      <c r="B78" s="29">
        <v>2023</v>
      </c>
      <c r="C78" s="45">
        <v>-6.8181818181818177E-2</v>
      </c>
      <c r="F78" s="44"/>
    </row>
    <row r="79" spans="2:17" x14ac:dyDescent="0.25">
      <c r="B79" s="29">
        <v>2024</v>
      </c>
      <c r="C79" s="45">
        <v>-0.24390243902439024</v>
      </c>
      <c r="F79" s="44"/>
    </row>
    <row r="80" spans="2:17" x14ac:dyDescent="0.25">
      <c r="F80" s="44"/>
    </row>
    <row r="82" spans="2:17" ht="15" customHeight="1" x14ac:dyDescent="0.25">
      <c r="F82" s="78" t="s">
        <v>249</v>
      </c>
      <c r="G82" s="78"/>
      <c r="H82" s="78"/>
      <c r="I82" s="78"/>
      <c r="J82" s="78"/>
      <c r="K82" s="78"/>
      <c r="L82" s="78"/>
      <c r="M82" s="78"/>
      <c r="N82" s="78"/>
      <c r="O82" s="78"/>
    </row>
    <row r="83" spans="2:17" ht="15" customHeight="1" x14ac:dyDescent="0.25">
      <c r="F83" s="78"/>
      <c r="G83" s="78"/>
      <c r="H83" s="78"/>
      <c r="I83" s="78"/>
      <c r="J83" s="78"/>
      <c r="K83" s="78"/>
      <c r="L83" s="78"/>
      <c r="M83" s="78"/>
      <c r="N83" s="78"/>
      <c r="O83" s="78"/>
    </row>
    <row r="84" spans="2:17" ht="15" customHeight="1" x14ac:dyDescent="0.25">
      <c r="F84" s="78"/>
      <c r="G84" s="78"/>
      <c r="H84" s="78"/>
      <c r="I84" s="78"/>
      <c r="J84" s="78"/>
      <c r="K84" s="78"/>
      <c r="L84" s="78"/>
      <c r="M84" s="78"/>
      <c r="N84" s="78"/>
      <c r="O84" s="78"/>
    </row>
    <row r="87" spans="2:17" ht="18.75" x14ac:dyDescent="0.3">
      <c r="B87" s="80" t="s">
        <v>263</v>
      </c>
      <c r="C87" s="80"/>
      <c r="D87" s="80"/>
      <c r="E87" s="80"/>
      <c r="F87" s="80"/>
      <c r="G87" s="80"/>
      <c r="H87" s="80"/>
    </row>
    <row r="89" spans="2:17" ht="15.75" x14ac:dyDescent="0.25">
      <c r="B89" s="120" t="s">
        <v>292</v>
      </c>
      <c r="C89" s="120"/>
      <c r="J89" s="120" t="s">
        <v>250</v>
      </c>
      <c r="K89" s="120"/>
    </row>
    <row r="90" spans="2:17" x14ac:dyDescent="0.25">
      <c r="B90" s="133" t="s">
        <v>289</v>
      </c>
      <c r="C90" s="135" t="s">
        <v>228</v>
      </c>
      <c r="J90" s="28" t="s">
        <v>289</v>
      </c>
      <c r="K90" s="29" t="s">
        <v>228</v>
      </c>
    </row>
    <row r="91" spans="2:17" x14ac:dyDescent="0.25">
      <c r="B91" s="133" t="s">
        <v>225</v>
      </c>
      <c r="C91" s="135" t="s">
        <v>203</v>
      </c>
      <c r="J91" s="28" t="s">
        <v>225</v>
      </c>
      <c r="K91" s="29" t="s">
        <v>203</v>
      </c>
    </row>
    <row r="93" spans="2:17" x14ac:dyDescent="0.25">
      <c r="B93" s="28" t="s">
        <v>222</v>
      </c>
      <c r="C93" s="56" t="s">
        <v>231</v>
      </c>
      <c r="J93" s="28" t="s">
        <v>222</v>
      </c>
      <c r="K93" s="56" t="s">
        <v>231</v>
      </c>
    </row>
    <row r="94" spans="2:17" x14ac:dyDescent="0.25">
      <c r="B94" s="29">
        <v>2010</v>
      </c>
      <c r="C94" s="60">
        <v>110000</v>
      </c>
      <c r="D94" s="27"/>
      <c r="E94" s="27"/>
      <c r="F94" s="27"/>
      <c r="G94" s="27"/>
      <c r="H94" s="27"/>
      <c r="I94" s="27"/>
      <c r="J94" s="29">
        <v>2017</v>
      </c>
      <c r="K94" s="60">
        <v>73000</v>
      </c>
      <c r="N94" s="27"/>
      <c r="O94" s="27"/>
      <c r="P94" s="27"/>
      <c r="Q94" s="27"/>
    </row>
    <row r="95" spans="2:17" x14ac:dyDescent="0.25">
      <c r="B95" s="29">
        <v>2011</v>
      </c>
      <c r="C95" s="60">
        <v>110000</v>
      </c>
      <c r="J95" s="29">
        <v>2018</v>
      </c>
      <c r="K95" s="60">
        <v>70000</v>
      </c>
    </row>
    <row r="96" spans="2:17" x14ac:dyDescent="0.25">
      <c r="B96" s="29">
        <v>2012</v>
      </c>
      <c r="C96" s="60">
        <v>100000</v>
      </c>
      <c r="J96" s="29">
        <v>2019</v>
      </c>
      <c r="K96" s="60">
        <v>66000</v>
      </c>
    </row>
    <row r="97" spans="2:15" x14ac:dyDescent="0.25">
      <c r="B97" s="29">
        <v>2013</v>
      </c>
      <c r="C97" s="60">
        <v>94000</v>
      </c>
      <c r="J97" s="29">
        <v>2020</v>
      </c>
      <c r="K97" s="60">
        <v>58000</v>
      </c>
    </row>
    <row r="98" spans="2:15" x14ac:dyDescent="0.25">
      <c r="B98" s="29">
        <v>2014</v>
      </c>
      <c r="C98" s="60">
        <v>90000</v>
      </c>
      <c r="J98" s="29">
        <v>2021</v>
      </c>
      <c r="K98" s="60">
        <v>53000</v>
      </c>
    </row>
    <row r="99" spans="2:15" x14ac:dyDescent="0.25">
      <c r="B99" s="29">
        <v>2015</v>
      </c>
      <c r="C99" s="60">
        <v>86000</v>
      </c>
      <c r="J99" s="29">
        <v>2022</v>
      </c>
      <c r="K99" s="60">
        <v>44000</v>
      </c>
    </row>
    <row r="100" spans="2:15" x14ac:dyDescent="0.25">
      <c r="B100" s="29">
        <v>2016</v>
      </c>
      <c r="C100" s="60">
        <v>79000</v>
      </c>
      <c r="J100" s="29">
        <v>2023</v>
      </c>
      <c r="K100" s="60">
        <v>41000</v>
      </c>
    </row>
    <row r="101" spans="2:15" x14ac:dyDescent="0.25">
      <c r="J101" s="29">
        <v>2024</v>
      </c>
      <c r="K101" s="60">
        <v>31000</v>
      </c>
    </row>
    <row r="103" spans="2:15" x14ac:dyDescent="0.25">
      <c r="J103" s="30"/>
      <c r="K103" s="41"/>
    </row>
    <row r="104" spans="2:15" ht="15" customHeight="1" x14ac:dyDescent="0.25">
      <c r="B104" s="110" t="s">
        <v>254</v>
      </c>
      <c r="C104" s="125"/>
      <c r="D104" s="127" t="s">
        <v>255</v>
      </c>
      <c r="E104" s="127"/>
      <c r="F104" s="112" t="s">
        <v>235</v>
      </c>
      <c r="G104" s="123">
        <f>SUM(C94:C100)/7</f>
        <v>95571.428571428565</v>
      </c>
      <c r="J104" s="129" t="s">
        <v>254</v>
      </c>
      <c r="K104" s="130"/>
      <c r="L104" s="127" t="s">
        <v>255</v>
      </c>
      <c r="M104" s="127"/>
      <c r="N104" s="112" t="s">
        <v>235</v>
      </c>
      <c r="O104" s="123">
        <f>SUM(K94:K101)/8</f>
        <v>54500</v>
      </c>
    </row>
    <row r="105" spans="2:15" ht="15" customHeight="1" x14ac:dyDescent="0.25">
      <c r="B105" s="111"/>
      <c r="C105" s="126"/>
      <c r="D105" s="127" t="s">
        <v>256</v>
      </c>
      <c r="E105" s="127"/>
      <c r="F105" s="113"/>
      <c r="G105" s="124"/>
      <c r="J105" s="131"/>
      <c r="K105" s="132"/>
      <c r="L105" s="127" t="s">
        <v>256</v>
      </c>
      <c r="M105" s="127"/>
      <c r="N105" s="113"/>
      <c r="O105" s="124"/>
    </row>
    <row r="107" spans="2:15" x14ac:dyDescent="0.25">
      <c r="B107" s="110" t="s">
        <v>251</v>
      </c>
      <c r="C107" s="38" t="s">
        <v>252</v>
      </c>
      <c r="D107" s="112" t="s">
        <v>236</v>
      </c>
      <c r="E107" s="112" t="s">
        <v>235</v>
      </c>
      <c r="F107" s="121">
        <f>(GETPIVOTDATA("Value",$B$93,"Year",2010)-GETPIVOTDATA("Value",$B$93,"Year",2016))/GETPIVOTDATA("Value",$B$93,"Year",2010)</f>
        <v>0.2818181818181818</v>
      </c>
      <c r="J107" s="110" t="s">
        <v>251</v>
      </c>
      <c r="K107" s="38" t="s">
        <v>253</v>
      </c>
      <c r="L107" s="112" t="s">
        <v>236</v>
      </c>
      <c r="M107" s="112" t="s">
        <v>235</v>
      </c>
      <c r="N107" s="121">
        <f>(GETPIVOTDATA("Value",$J$93,"Year",2017)-GETPIVOTDATA("Value",$J$93,"Year",2024))/GETPIVOTDATA("Value",$J$93,"Year",2017)</f>
        <v>0.57534246575342463</v>
      </c>
    </row>
    <row r="108" spans="2:15" x14ac:dyDescent="0.25">
      <c r="B108" s="111"/>
      <c r="C108" s="38">
        <v>2010</v>
      </c>
      <c r="D108" s="113"/>
      <c r="E108" s="113"/>
      <c r="F108" s="122"/>
      <c r="J108" s="111"/>
      <c r="K108" s="38">
        <v>2017</v>
      </c>
      <c r="L108" s="113"/>
      <c r="M108" s="113"/>
      <c r="N108" s="122"/>
    </row>
    <row r="110" spans="2:15" ht="15" customHeight="1" x14ac:dyDescent="0.25">
      <c r="B110" s="110" t="s">
        <v>257</v>
      </c>
      <c r="C110" s="112" t="s">
        <v>260</v>
      </c>
      <c r="D110" s="112"/>
      <c r="E110" s="112"/>
      <c r="F110" s="112" t="s">
        <v>235</v>
      </c>
      <c r="G110" s="114">
        <f>(GETPIVOTDATA("Value",$B$93,"Year",2010)/GETPIVOTDATA("Value",$B$93,"Year",2016))^ (1/7) - 1</f>
        <v>4.842638497382068E-2</v>
      </c>
      <c r="J110" s="110" t="s">
        <v>257</v>
      </c>
      <c r="K110" s="112" t="s">
        <v>261</v>
      </c>
      <c r="L110" s="112"/>
      <c r="M110" s="112"/>
      <c r="N110" s="112" t="s">
        <v>235</v>
      </c>
      <c r="O110" s="114">
        <f>(GETPIVOTDATA("Value",$J$93,"Year",2017)/GETPIVOTDATA("Value",$J$93,"Year",2024)) ^ (1/8) - 1</f>
        <v>0.11299995246321215</v>
      </c>
    </row>
    <row r="111" spans="2:15" ht="15" customHeight="1" x14ac:dyDescent="0.25">
      <c r="B111" s="111"/>
      <c r="C111" s="113"/>
      <c r="D111" s="113"/>
      <c r="E111" s="113"/>
      <c r="F111" s="113"/>
      <c r="G111" s="115"/>
      <c r="J111" s="111"/>
      <c r="K111" s="113"/>
      <c r="L111" s="113"/>
      <c r="M111" s="113"/>
      <c r="N111" s="113"/>
      <c r="O111" s="115"/>
    </row>
    <row r="113" spans="2:17" ht="15" customHeight="1" x14ac:dyDescent="0.25">
      <c r="D113" s="78" t="s">
        <v>264</v>
      </c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</row>
    <row r="114" spans="2:17" ht="15" customHeight="1" x14ac:dyDescent="0.25"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</row>
    <row r="115" spans="2:17" ht="15" customHeight="1" x14ac:dyDescent="0.25"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</row>
    <row r="119" spans="2:17" ht="18.75" x14ac:dyDescent="0.3">
      <c r="D119" s="84" t="s">
        <v>266</v>
      </c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</row>
    <row r="120" spans="2:17" ht="15" customHeight="1" x14ac:dyDescent="0.25">
      <c r="B120" s="85" t="s">
        <v>268</v>
      </c>
      <c r="C120" s="85"/>
      <c r="D120" s="85"/>
      <c r="E120" s="85"/>
    </row>
    <row r="121" spans="2:17" x14ac:dyDescent="0.25">
      <c r="B121" s="85"/>
      <c r="C121" s="85"/>
      <c r="D121" s="85"/>
      <c r="E121" s="85"/>
    </row>
    <row r="123" spans="2:17" ht="18.75" x14ac:dyDescent="0.3">
      <c r="B123" s="80" t="s">
        <v>269</v>
      </c>
      <c r="C123" s="80"/>
      <c r="D123" s="80"/>
      <c r="E123" s="80"/>
      <c r="F123" s="80"/>
      <c r="G123" s="80"/>
      <c r="H123" s="80"/>
    </row>
    <row r="125" spans="2:17" x14ac:dyDescent="0.25">
      <c r="B125" s="133" t="s">
        <v>225</v>
      </c>
      <c r="C125" s="135" t="s">
        <v>203</v>
      </c>
    </row>
    <row r="127" spans="2:17" x14ac:dyDescent="0.25">
      <c r="B127" s="31" t="s">
        <v>231</v>
      </c>
      <c r="C127" s="32" t="s">
        <v>289</v>
      </c>
      <c r="D127" s="56"/>
    </row>
    <row r="128" spans="2:17" x14ac:dyDescent="0.25">
      <c r="B128" s="36" t="s">
        <v>222</v>
      </c>
      <c r="C128" s="33" t="s">
        <v>229</v>
      </c>
      <c r="D128" s="54" t="s">
        <v>228</v>
      </c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</row>
    <row r="129" spans="2:4" x14ac:dyDescent="0.25">
      <c r="B129" s="29">
        <v>2010</v>
      </c>
      <c r="C129" s="37">
        <v>19</v>
      </c>
      <c r="D129" s="60">
        <v>110000</v>
      </c>
    </row>
    <row r="130" spans="2:4" x14ac:dyDescent="0.25">
      <c r="B130" s="29">
        <v>2011</v>
      </c>
      <c r="C130" s="37">
        <v>21</v>
      </c>
      <c r="D130" s="60">
        <v>110000</v>
      </c>
    </row>
    <row r="131" spans="2:4" x14ac:dyDescent="0.25">
      <c r="B131" s="29">
        <v>2012</v>
      </c>
      <c r="C131" s="37">
        <v>27</v>
      </c>
      <c r="D131" s="60">
        <v>100000</v>
      </c>
    </row>
    <row r="132" spans="2:4" x14ac:dyDescent="0.25">
      <c r="B132" s="29">
        <v>2013</v>
      </c>
      <c r="C132" s="37">
        <v>33</v>
      </c>
      <c r="D132" s="60">
        <v>94000</v>
      </c>
    </row>
    <row r="133" spans="2:4" x14ac:dyDescent="0.25">
      <c r="B133" s="29">
        <v>2014</v>
      </c>
      <c r="C133" s="37">
        <v>37</v>
      </c>
      <c r="D133" s="60">
        <v>90000</v>
      </c>
    </row>
    <row r="134" spans="2:4" x14ac:dyDescent="0.25">
      <c r="B134" s="29">
        <v>2015</v>
      </c>
      <c r="C134" s="37">
        <v>41</v>
      </c>
      <c r="D134" s="60">
        <v>86000</v>
      </c>
    </row>
    <row r="135" spans="2:4" x14ac:dyDescent="0.25">
      <c r="B135" s="29">
        <v>2016</v>
      </c>
      <c r="C135" s="37">
        <v>46</v>
      </c>
      <c r="D135" s="60">
        <v>79000</v>
      </c>
    </row>
    <row r="136" spans="2:4" x14ac:dyDescent="0.25">
      <c r="B136" s="29">
        <v>2017</v>
      </c>
      <c r="C136" s="37">
        <v>49</v>
      </c>
      <c r="D136" s="60">
        <v>73000</v>
      </c>
    </row>
    <row r="137" spans="2:4" x14ac:dyDescent="0.25">
      <c r="B137" s="29">
        <v>2018</v>
      </c>
      <c r="C137" s="37">
        <v>49</v>
      </c>
      <c r="D137" s="60">
        <v>70000</v>
      </c>
    </row>
    <row r="138" spans="2:4" x14ac:dyDescent="0.25">
      <c r="B138" s="29">
        <v>2019</v>
      </c>
      <c r="C138" s="37">
        <v>56</v>
      </c>
      <c r="D138" s="60">
        <v>66000</v>
      </c>
    </row>
    <row r="139" spans="2:4" x14ac:dyDescent="0.25">
      <c r="B139" s="29">
        <v>2020</v>
      </c>
      <c r="C139" s="37">
        <v>62</v>
      </c>
      <c r="D139" s="60">
        <v>58000</v>
      </c>
    </row>
    <row r="140" spans="2:4" x14ac:dyDescent="0.25">
      <c r="B140" s="29">
        <v>2021</v>
      </c>
      <c r="C140" s="37">
        <v>68</v>
      </c>
      <c r="D140" s="60">
        <v>53000</v>
      </c>
    </row>
    <row r="141" spans="2:4" x14ac:dyDescent="0.25">
      <c r="B141" s="29">
        <v>2022</v>
      </c>
      <c r="C141" s="37">
        <v>75</v>
      </c>
      <c r="D141" s="60">
        <v>44000</v>
      </c>
    </row>
    <row r="142" spans="2:4" x14ac:dyDescent="0.25">
      <c r="B142" s="29">
        <v>2023</v>
      </c>
      <c r="C142" s="37">
        <v>81</v>
      </c>
      <c r="D142" s="60">
        <v>41000</v>
      </c>
    </row>
    <row r="143" spans="2:4" x14ac:dyDescent="0.25">
      <c r="B143" s="29">
        <v>2024</v>
      </c>
      <c r="C143" s="37">
        <v>87</v>
      </c>
      <c r="D143" s="60">
        <v>31000</v>
      </c>
    </row>
    <row r="145" spans="2:15" ht="15" customHeight="1" x14ac:dyDescent="0.25">
      <c r="F145" s="78" t="s">
        <v>270</v>
      </c>
      <c r="G145" s="78"/>
      <c r="H145" s="78"/>
      <c r="I145" s="78"/>
      <c r="J145" s="78"/>
      <c r="K145" s="78"/>
      <c r="L145" s="78"/>
      <c r="M145" s="78"/>
      <c r="N145" s="78"/>
      <c r="O145" s="78"/>
    </row>
    <row r="146" spans="2:15" ht="15" customHeight="1" x14ac:dyDescent="0.25">
      <c r="F146" s="78"/>
      <c r="G146" s="78"/>
      <c r="H146" s="78"/>
      <c r="I146" s="78"/>
      <c r="J146" s="78"/>
      <c r="K146" s="78"/>
      <c r="L146" s="78"/>
      <c r="M146" s="78"/>
      <c r="N146" s="78"/>
      <c r="O146" s="78"/>
    </row>
    <row r="147" spans="2:15" ht="15" customHeight="1" x14ac:dyDescent="0.25">
      <c r="F147" s="78"/>
      <c r="G147" s="78"/>
      <c r="H147" s="78"/>
      <c r="I147" s="78"/>
      <c r="J147" s="78"/>
      <c r="K147" s="78"/>
      <c r="L147" s="78"/>
      <c r="M147" s="78"/>
      <c r="N147" s="78"/>
      <c r="O147" s="78"/>
    </row>
    <row r="148" spans="2:15" x14ac:dyDescent="0.25">
      <c r="F148" s="78"/>
      <c r="G148" s="78"/>
      <c r="H148" s="78"/>
      <c r="I148" s="78"/>
      <c r="J148" s="78"/>
      <c r="K148" s="78"/>
      <c r="L148" s="78"/>
      <c r="M148" s="78"/>
      <c r="N148" s="78"/>
      <c r="O148" s="78"/>
    </row>
    <row r="151" spans="2:15" ht="18.75" x14ac:dyDescent="0.3">
      <c r="B151" s="80" t="s">
        <v>271</v>
      </c>
      <c r="C151" s="80"/>
      <c r="D151" s="80"/>
      <c r="E151" s="80"/>
      <c r="F151" s="80"/>
      <c r="G151" s="80"/>
      <c r="H151" s="80"/>
    </row>
    <row r="153" spans="2:15" ht="15.75" customHeight="1" x14ac:dyDescent="0.25">
      <c r="B153" s="88" t="s">
        <v>272</v>
      </c>
      <c r="C153" s="88"/>
      <c r="D153" s="128" t="s">
        <v>275</v>
      </c>
      <c r="E153" s="128"/>
      <c r="F153" s="128"/>
      <c r="G153" s="128"/>
      <c r="H153" s="128"/>
      <c r="I153" s="128"/>
      <c r="J153" s="50"/>
    </row>
    <row r="154" spans="2:15" ht="15.75" x14ac:dyDescent="0.25">
      <c r="B154" s="88"/>
      <c r="C154" s="88"/>
      <c r="D154" s="87" t="s">
        <v>273</v>
      </c>
      <c r="E154" s="87"/>
      <c r="F154" s="87"/>
      <c r="G154" s="87"/>
      <c r="H154" s="87"/>
      <c r="I154" s="87"/>
      <c r="J154" s="87"/>
    </row>
    <row r="155" spans="2:15" ht="15.75" x14ac:dyDescent="0.25">
      <c r="B155" s="88"/>
      <c r="C155" s="88"/>
      <c r="D155" s="87" t="s">
        <v>274</v>
      </c>
      <c r="E155" s="87"/>
      <c r="F155" s="87"/>
      <c r="G155" s="87"/>
      <c r="H155" s="87"/>
      <c r="I155" s="87"/>
      <c r="J155" s="87"/>
    </row>
    <row r="157" spans="2:15" x14ac:dyDescent="0.25">
      <c r="B157" s="27" t="s">
        <v>225</v>
      </c>
      <c r="C157" t="s">
        <v>203</v>
      </c>
    </row>
    <row r="158" spans="2:15" x14ac:dyDescent="0.25">
      <c r="B158" s="27" t="s">
        <v>289</v>
      </c>
      <c r="C158" t="s">
        <v>229</v>
      </c>
    </row>
    <row r="160" spans="2:15" x14ac:dyDescent="0.25">
      <c r="B160" s="28" t="s">
        <v>222</v>
      </c>
      <c r="C160" s="58" t="s">
        <v>293</v>
      </c>
    </row>
    <row r="161" spans="2:15" x14ac:dyDescent="0.25">
      <c r="B161" s="33">
        <v>2010</v>
      </c>
      <c r="C161" s="35">
        <v>19</v>
      </c>
      <c r="F161" s="27"/>
      <c r="G161" s="27"/>
      <c r="H161" s="27"/>
      <c r="I161" s="27"/>
      <c r="J161" s="27"/>
      <c r="K161" s="27"/>
      <c r="L161" s="27"/>
      <c r="M161" s="27"/>
      <c r="N161" s="27"/>
      <c r="O161" s="27"/>
    </row>
    <row r="162" spans="2:15" x14ac:dyDescent="0.25">
      <c r="B162" s="29">
        <v>2011</v>
      </c>
      <c r="C162" s="37">
        <v>21</v>
      </c>
    </row>
    <row r="163" spans="2:15" x14ac:dyDescent="0.25">
      <c r="B163" s="29">
        <v>2012</v>
      </c>
      <c r="C163" s="37">
        <v>27</v>
      </c>
    </row>
    <row r="164" spans="2:15" x14ac:dyDescent="0.25">
      <c r="B164" s="29">
        <v>2013</v>
      </c>
      <c r="C164" s="37">
        <v>33</v>
      </c>
    </row>
    <row r="165" spans="2:15" x14ac:dyDescent="0.25">
      <c r="B165" s="29">
        <v>2014</v>
      </c>
      <c r="C165" s="37">
        <v>37</v>
      </c>
    </row>
    <row r="166" spans="2:15" x14ac:dyDescent="0.25">
      <c r="B166" s="29">
        <v>2015</v>
      </c>
      <c r="C166" s="37">
        <v>41</v>
      </c>
    </row>
    <row r="167" spans="2:15" x14ac:dyDescent="0.25">
      <c r="B167" s="29">
        <v>2016</v>
      </c>
      <c r="C167" s="37">
        <v>46</v>
      </c>
    </row>
    <row r="168" spans="2:15" x14ac:dyDescent="0.25">
      <c r="B168" s="29">
        <v>2017</v>
      </c>
      <c r="C168" s="37">
        <v>49</v>
      </c>
    </row>
    <row r="169" spans="2:15" x14ac:dyDescent="0.25">
      <c r="B169" s="29">
        <v>2018</v>
      </c>
      <c r="C169" s="37">
        <v>49</v>
      </c>
    </row>
    <row r="170" spans="2:15" x14ac:dyDescent="0.25">
      <c r="B170" s="29">
        <v>2019</v>
      </c>
      <c r="C170" s="37">
        <v>56</v>
      </c>
    </row>
    <row r="171" spans="2:15" x14ac:dyDescent="0.25">
      <c r="B171" s="29">
        <v>2020</v>
      </c>
      <c r="C171" s="37">
        <v>62</v>
      </c>
    </row>
    <row r="172" spans="2:15" x14ac:dyDescent="0.25">
      <c r="B172" s="29">
        <v>2021</v>
      </c>
      <c r="C172" s="37">
        <v>68</v>
      </c>
    </row>
    <row r="173" spans="2:15" x14ac:dyDescent="0.25">
      <c r="B173" s="29">
        <v>2022</v>
      </c>
      <c r="C173" s="37">
        <v>75</v>
      </c>
    </row>
    <row r="174" spans="2:15" x14ac:dyDescent="0.25">
      <c r="B174" s="29">
        <v>2023</v>
      </c>
      <c r="C174" s="37">
        <v>81</v>
      </c>
    </row>
    <row r="175" spans="2:15" x14ac:dyDescent="0.25">
      <c r="B175" s="29">
        <v>2024</v>
      </c>
      <c r="C175" s="37">
        <v>87</v>
      </c>
    </row>
    <row r="178" spans="2:13" ht="15" customHeight="1" x14ac:dyDescent="0.25">
      <c r="E178" s="78" t="s">
        <v>276</v>
      </c>
      <c r="F178" s="78"/>
      <c r="G178" s="78"/>
      <c r="H178" s="78"/>
      <c r="I178" s="78"/>
      <c r="J178" s="78"/>
      <c r="K178" s="78"/>
      <c r="L178" s="78"/>
      <c r="M178" s="78"/>
    </row>
    <row r="179" spans="2:13" ht="15" customHeight="1" x14ac:dyDescent="0.25">
      <c r="E179" s="78"/>
      <c r="F179" s="78"/>
      <c r="G179" s="78"/>
      <c r="H179" s="78"/>
      <c r="I179" s="78"/>
      <c r="J179" s="78"/>
      <c r="K179" s="78"/>
      <c r="L179" s="78"/>
      <c r="M179" s="78"/>
    </row>
    <row r="180" spans="2:13" ht="15" customHeight="1" x14ac:dyDescent="0.25">
      <c r="E180" s="78"/>
      <c r="F180" s="78"/>
      <c r="G180" s="78"/>
      <c r="H180" s="78"/>
      <c r="I180" s="78"/>
      <c r="J180" s="78"/>
      <c r="K180" s="78"/>
      <c r="L180" s="78"/>
      <c r="M180" s="78"/>
    </row>
    <row r="181" spans="2:13" ht="15" customHeight="1" x14ac:dyDescent="0.25"/>
    <row r="183" spans="2:13" ht="18.75" x14ac:dyDescent="0.3">
      <c r="B183" s="80" t="s">
        <v>277</v>
      </c>
      <c r="C183" s="80"/>
      <c r="D183" s="80"/>
      <c r="E183" s="80"/>
      <c r="F183" s="80"/>
      <c r="G183" s="80"/>
      <c r="H183" s="80"/>
    </row>
    <row r="185" spans="2:13" x14ac:dyDescent="0.25">
      <c r="B185" s="86" t="s">
        <v>284</v>
      </c>
      <c r="C185" s="86"/>
      <c r="D185" s="86"/>
      <c r="E185" s="86"/>
      <c r="F185" s="86"/>
      <c r="G185" s="49"/>
      <c r="H185" s="49"/>
      <c r="I185" s="49"/>
      <c r="J185" s="49"/>
      <c r="K185" s="49"/>
    </row>
    <row r="186" spans="2:13" x14ac:dyDescent="0.25">
      <c r="B186" s="86"/>
      <c r="C186" s="86"/>
      <c r="D186" s="86"/>
      <c r="E186" s="86"/>
      <c r="F186" s="86"/>
      <c r="G186" s="49"/>
      <c r="H186" s="49"/>
      <c r="I186" s="49"/>
      <c r="J186" s="49"/>
      <c r="K186" s="49"/>
    </row>
    <row r="187" spans="2:13" x14ac:dyDescent="0.25">
      <c r="B187" s="86"/>
      <c r="C187" s="86"/>
      <c r="D187" s="86"/>
      <c r="E187" s="86"/>
      <c r="F187" s="86"/>
    </row>
    <row r="188" spans="2:13" x14ac:dyDescent="0.25">
      <c r="B188" s="86"/>
      <c r="C188" s="86"/>
      <c r="D188" s="86"/>
      <c r="E188" s="86"/>
      <c r="F188" s="86"/>
    </row>
    <row r="190" spans="2:13" ht="15" customHeight="1" x14ac:dyDescent="0.25">
      <c r="B190" s="81" t="s">
        <v>278</v>
      </c>
      <c r="C190" s="81"/>
      <c r="D190" s="81"/>
      <c r="E190" s="81"/>
      <c r="L190" s="49"/>
    </row>
    <row r="191" spans="2:13" x14ac:dyDescent="0.25">
      <c r="B191" s="81"/>
      <c r="C191" s="81"/>
      <c r="D191" s="81"/>
      <c r="E191" s="81"/>
      <c r="L191" s="49"/>
    </row>
    <row r="193" spans="2:17" x14ac:dyDescent="0.25">
      <c r="B193" s="83" t="s">
        <v>282</v>
      </c>
      <c r="C193" s="83"/>
      <c r="D193" s="53" t="s">
        <v>283</v>
      </c>
    </row>
    <row r="194" spans="2:17" x14ac:dyDescent="0.25">
      <c r="B194" s="82" t="s">
        <v>279</v>
      </c>
      <c r="C194" s="82"/>
      <c r="D194" s="52">
        <v>0.95</v>
      </c>
      <c r="E194" s="51"/>
    </row>
    <row r="195" spans="2:17" x14ac:dyDescent="0.25">
      <c r="B195" s="82" t="s">
        <v>280</v>
      </c>
      <c r="C195" s="82"/>
      <c r="D195" s="52">
        <v>0.87</v>
      </c>
    </row>
    <row r="196" spans="2:17" x14ac:dyDescent="0.25">
      <c r="B196" s="82" t="s">
        <v>281</v>
      </c>
      <c r="C196" s="82"/>
      <c r="D196" s="52">
        <f>D194-D195</f>
        <v>7.999999999999996E-2</v>
      </c>
      <c r="E196" s="47"/>
    </row>
    <row r="199" spans="2:17" ht="15" customHeight="1" x14ac:dyDescent="0.25">
      <c r="H199" s="78" t="s">
        <v>295</v>
      </c>
      <c r="I199" s="78"/>
      <c r="J199" s="78"/>
      <c r="K199" s="78"/>
      <c r="L199" s="78"/>
      <c r="M199" s="78"/>
      <c r="N199" s="78"/>
    </row>
    <row r="200" spans="2:17" ht="15" customHeight="1" x14ac:dyDescent="0.25">
      <c r="H200" s="78"/>
      <c r="I200" s="78"/>
      <c r="J200" s="78"/>
      <c r="K200" s="78"/>
      <c r="L200" s="78"/>
      <c r="M200" s="78"/>
      <c r="N200" s="78"/>
    </row>
    <row r="201" spans="2:17" ht="15" customHeight="1" x14ac:dyDescent="0.25">
      <c r="H201" s="78"/>
      <c r="I201" s="78"/>
      <c r="J201" s="78"/>
      <c r="K201" s="78"/>
      <c r="L201" s="78"/>
      <c r="M201" s="78"/>
      <c r="N201" s="78"/>
    </row>
    <row r="205" spans="2:17" ht="18.75" x14ac:dyDescent="0.3">
      <c r="D205" s="84" t="s">
        <v>285</v>
      </c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</row>
    <row r="207" spans="2:17" ht="18.75" x14ac:dyDescent="0.3">
      <c r="B207" s="80" t="s">
        <v>286</v>
      </c>
      <c r="C207" s="80"/>
      <c r="D207" s="80"/>
      <c r="E207" s="80"/>
      <c r="F207" s="80"/>
      <c r="G207" s="80"/>
      <c r="H207" s="80"/>
    </row>
    <row r="209" spans="2:17" x14ac:dyDescent="0.25">
      <c r="B209" s="28" t="s">
        <v>225</v>
      </c>
      <c r="C209" s="29" t="s">
        <v>203</v>
      </c>
      <c r="D209" s="30"/>
    </row>
    <row r="210" spans="2:17" x14ac:dyDescent="0.25">
      <c r="B210" s="28" t="s">
        <v>289</v>
      </c>
      <c r="C210" s="29" t="s">
        <v>227</v>
      </c>
      <c r="D210" s="30"/>
    </row>
    <row r="211" spans="2:17" x14ac:dyDescent="0.25">
      <c r="B211" s="30"/>
      <c r="C211" s="30"/>
      <c r="D211" s="30"/>
    </row>
    <row r="212" spans="2:17" x14ac:dyDescent="0.25">
      <c r="B212" s="28" t="s">
        <v>222</v>
      </c>
      <c r="C212" s="57" t="s">
        <v>288</v>
      </c>
      <c r="D212" s="58" t="s">
        <v>294</v>
      </c>
    </row>
    <row r="213" spans="2:17" x14ac:dyDescent="0.25">
      <c r="B213" s="29">
        <v>2010</v>
      </c>
      <c r="C213" s="60">
        <v>75000</v>
      </c>
      <c r="D213" s="45">
        <v>9.003601440576231E-2</v>
      </c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</row>
    <row r="214" spans="2:17" x14ac:dyDescent="0.25">
      <c r="B214" s="29">
        <v>2011</v>
      </c>
      <c r="C214" s="60">
        <v>78000</v>
      </c>
      <c r="D214" s="45">
        <v>0.18367346938775511</v>
      </c>
    </row>
    <row r="215" spans="2:17" x14ac:dyDescent="0.25">
      <c r="B215" s="29">
        <v>2012</v>
      </c>
      <c r="C215" s="60">
        <v>73000</v>
      </c>
      <c r="D215" s="45">
        <v>0.27130852340936373</v>
      </c>
    </row>
    <row r="216" spans="2:17" x14ac:dyDescent="0.25">
      <c r="B216" s="29">
        <v>2013</v>
      </c>
      <c r="C216" s="60">
        <v>66000</v>
      </c>
      <c r="D216" s="45">
        <v>0.3505402160864346</v>
      </c>
    </row>
    <row r="217" spans="2:17" x14ac:dyDescent="0.25">
      <c r="B217" s="29">
        <v>2014</v>
      </c>
      <c r="C217" s="60">
        <v>61000</v>
      </c>
      <c r="D217" s="45">
        <v>0.42376950780312123</v>
      </c>
    </row>
    <row r="218" spans="2:17" x14ac:dyDescent="0.25">
      <c r="B218" s="29">
        <v>2015</v>
      </c>
      <c r="C218" s="60">
        <v>59000</v>
      </c>
      <c r="D218" s="45">
        <v>0.49459783913565425</v>
      </c>
    </row>
    <row r="219" spans="2:17" x14ac:dyDescent="0.25">
      <c r="B219" s="29">
        <v>2016</v>
      </c>
      <c r="C219" s="60">
        <v>57000</v>
      </c>
      <c r="D219" s="45">
        <v>0.56302521008403361</v>
      </c>
    </row>
    <row r="220" spans="2:17" x14ac:dyDescent="0.25">
      <c r="B220" s="29">
        <v>2017</v>
      </c>
      <c r="C220" s="60">
        <v>55000</v>
      </c>
      <c r="D220" s="45">
        <v>0.62905162064825926</v>
      </c>
    </row>
    <row r="221" spans="2:17" x14ac:dyDescent="0.25">
      <c r="B221" s="29">
        <v>2018</v>
      </c>
      <c r="C221" s="60">
        <v>57000</v>
      </c>
      <c r="D221" s="45">
        <v>0.69747899159663862</v>
      </c>
    </row>
    <row r="222" spans="2:17" x14ac:dyDescent="0.25">
      <c r="B222" s="29">
        <v>2019</v>
      </c>
      <c r="C222" s="60">
        <v>57000</v>
      </c>
      <c r="D222" s="45">
        <v>0.76590636254501798</v>
      </c>
    </row>
    <row r="223" spans="2:17" x14ac:dyDescent="0.25">
      <c r="B223" s="29">
        <v>2020</v>
      </c>
      <c r="C223" s="60">
        <v>50000</v>
      </c>
      <c r="D223" s="45">
        <v>0.82593037214885956</v>
      </c>
    </row>
    <row r="224" spans="2:17" x14ac:dyDescent="0.25">
      <c r="B224" s="29">
        <v>2021</v>
      </c>
      <c r="C224" s="60">
        <v>43000</v>
      </c>
      <c r="D224" s="45">
        <v>0.87755102040816324</v>
      </c>
    </row>
    <row r="225" spans="2:22" x14ac:dyDescent="0.25">
      <c r="B225" s="29">
        <v>2022</v>
      </c>
      <c r="C225" s="60">
        <v>38000</v>
      </c>
      <c r="D225" s="45">
        <v>0.92316926770708285</v>
      </c>
    </row>
    <row r="226" spans="2:22" x14ac:dyDescent="0.25">
      <c r="B226" s="29">
        <v>2023</v>
      </c>
      <c r="C226" s="60">
        <v>34000</v>
      </c>
      <c r="D226" s="45">
        <v>0.96398559423769503</v>
      </c>
    </row>
    <row r="227" spans="2:22" x14ac:dyDescent="0.25">
      <c r="B227" s="29">
        <v>2024</v>
      </c>
      <c r="C227" s="71">
        <v>30000</v>
      </c>
      <c r="D227" s="55">
        <v>1</v>
      </c>
    </row>
    <row r="228" spans="2:22" x14ac:dyDescent="0.25">
      <c r="B228" s="29" t="s">
        <v>287</v>
      </c>
      <c r="C228" s="60">
        <v>833000</v>
      </c>
      <c r="D228" s="45"/>
    </row>
    <row r="230" spans="2:22" x14ac:dyDescent="0.25">
      <c r="F230" s="78" t="s">
        <v>301</v>
      </c>
      <c r="G230" s="78"/>
      <c r="H230" s="78"/>
      <c r="I230" s="78"/>
      <c r="J230" s="78"/>
      <c r="K230" s="78"/>
      <c r="L230" s="78"/>
      <c r="M230" s="78"/>
      <c r="N230" s="78"/>
    </row>
    <row r="231" spans="2:22" x14ac:dyDescent="0.25">
      <c r="B231" s="30"/>
      <c r="C231" s="30"/>
      <c r="D231" s="30"/>
      <c r="F231" s="78"/>
      <c r="G231" s="78"/>
      <c r="H231" s="78"/>
      <c r="I231" s="78"/>
      <c r="J231" s="78"/>
      <c r="K231" s="78"/>
      <c r="L231" s="78"/>
      <c r="M231" s="78"/>
      <c r="N231" s="78"/>
    </row>
    <row r="232" spans="2:22" x14ac:dyDescent="0.25">
      <c r="F232" s="78"/>
      <c r="G232" s="78"/>
      <c r="H232" s="78"/>
      <c r="I232" s="78"/>
      <c r="J232" s="78"/>
      <c r="K232" s="78"/>
      <c r="L232" s="78"/>
      <c r="M232" s="78"/>
      <c r="N232" s="78"/>
    </row>
    <row r="235" spans="2:22" ht="18.75" x14ac:dyDescent="0.3">
      <c r="B235" s="80" t="s">
        <v>296</v>
      </c>
      <c r="C235" s="80"/>
      <c r="D235" s="80"/>
      <c r="E235" s="80"/>
      <c r="F235" s="80"/>
      <c r="G235" s="80"/>
      <c r="H235" s="80"/>
    </row>
    <row r="237" spans="2:22" ht="15.75" customHeight="1" x14ac:dyDescent="0.25">
      <c r="B237" s="67" t="s">
        <v>222</v>
      </c>
      <c r="C237" s="68" t="s">
        <v>297</v>
      </c>
      <c r="D237" s="69" t="s">
        <v>298</v>
      </c>
      <c r="E237" s="69" t="s">
        <v>299</v>
      </c>
      <c r="F237" s="70" t="s">
        <v>300</v>
      </c>
      <c r="R237" s="73"/>
      <c r="S237" s="73"/>
      <c r="T237" s="73"/>
      <c r="U237" s="73"/>
      <c r="V237" s="73"/>
    </row>
    <row r="238" spans="2:22" ht="15.75" customHeight="1" x14ac:dyDescent="0.25">
      <c r="B238" s="34">
        <v>2010</v>
      </c>
      <c r="C238" s="29">
        <v>19</v>
      </c>
      <c r="D238" s="60">
        <v>75000</v>
      </c>
      <c r="E238" s="60">
        <f>VLOOKUP(B238+1,$B$238:$D$252,3,)</f>
        <v>78000</v>
      </c>
      <c r="F238" s="62">
        <f>(VLOOKUP(B238+1,$B$238:$D$252,3,))*0.001</f>
        <v>78</v>
      </c>
      <c r="Q238" s="72"/>
      <c r="R238" s="73"/>
      <c r="S238" s="73"/>
      <c r="T238" s="73"/>
      <c r="U238" s="73"/>
      <c r="V238" s="73"/>
    </row>
    <row r="239" spans="2:22" x14ac:dyDescent="0.25">
      <c r="B239" s="34">
        <v>2011</v>
      </c>
      <c r="C239" s="29">
        <v>21</v>
      </c>
      <c r="D239" s="60">
        <v>78000</v>
      </c>
      <c r="E239" s="60">
        <f t="shared" ref="E239:E252" si="0">VLOOKUP(B239+1,$B$238:$D$252,3,)</f>
        <v>73000</v>
      </c>
      <c r="F239" s="62">
        <f t="shared" ref="F239:F251" si="1">(VLOOKUP(B239+1,$B$238:$D$252,3,))*0.001</f>
        <v>73</v>
      </c>
      <c r="Q239" s="72"/>
      <c r="R239" s="73"/>
      <c r="S239" s="73"/>
      <c r="T239" s="73"/>
      <c r="U239" s="73"/>
      <c r="V239" s="73"/>
    </row>
    <row r="240" spans="2:22" x14ac:dyDescent="0.25">
      <c r="B240" s="61">
        <v>2012</v>
      </c>
      <c r="C240" s="29">
        <v>27</v>
      </c>
      <c r="D240" s="60">
        <v>73000</v>
      </c>
      <c r="E240" s="60">
        <f t="shared" si="0"/>
        <v>66000</v>
      </c>
      <c r="F240" s="62">
        <f t="shared" si="1"/>
        <v>66</v>
      </c>
      <c r="Q240" s="72"/>
      <c r="R240" s="73"/>
      <c r="S240" s="73"/>
      <c r="T240" s="73"/>
      <c r="U240" s="73"/>
      <c r="V240" s="73"/>
    </row>
    <row r="241" spans="2:22" x14ac:dyDescent="0.25">
      <c r="B241" s="34">
        <v>2013</v>
      </c>
      <c r="C241" s="28">
        <v>33</v>
      </c>
      <c r="D241" s="60">
        <v>66000</v>
      </c>
      <c r="E241" s="60">
        <f t="shared" si="0"/>
        <v>61000</v>
      </c>
      <c r="F241" s="62">
        <f t="shared" si="1"/>
        <v>61</v>
      </c>
      <c r="H241" s="27"/>
      <c r="I241" s="27"/>
      <c r="J241" s="27"/>
      <c r="Q241" s="72"/>
      <c r="R241" s="73"/>
      <c r="S241" s="73"/>
      <c r="T241" s="73"/>
      <c r="U241" s="73"/>
      <c r="V241" s="73"/>
    </row>
    <row r="242" spans="2:22" x14ac:dyDescent="0.25">
      <c r="B242" s="34">
        <v>2014</v>
      </c>
      <c r="C242" s="29">
        <v>37</v>
      </c>
      <c r="D242" s="60">
        <v>61000</v>
      </c>
      <c r="E242" s="60">
        <f t="shared" si="0"/>
        <v>59000</v>
      </c>
      <c r="F242" s="62">
        <f t="shared" si="1"/>
        <v>59</v>
      </c>
      <c r="Q242" s="72"/>
      <c r="R242" s="73"/>
      <c r="S242" s="73"/>
      <c r="T242" s="73"/>
      <c r="U242" s="73"/>
      <c r="V242" s="73"/>
    </row>
    <row r="243" spans="2:22" x14ac:dyDescent="0.25">
      <c r="B243" s="34">
        <v>2015</v>
      </c>
      <c r="C243" s="29">
        <v>41</v>
      </c>
      <c r="D243" s="60">
        <v>59000</v>
      </c>
      <c r="E243" s="60">
        <f t="shared" si="0"/>
        <v>57000</v>
      </c>
      <c r="F243" s="62">
        <f t="shared" si="1"/>
        <v>57</v>
      </c>
      <c r="Q243" s="72"/>
      <c r="R243" s="73"/>
      <c r="S243" s="73"/>
      <c r="T243" s="73"/>
      <c r="U243" s="73"/>
      <c r="V243" s="73"/>
    </row>
    <row r="244" spans="2:22" x14ac:dyDescent="0.25">
      <c r="B244" s="34">
        <v>2016</v>
      </c>
      <c r="C244" s="29">
        <v>46</v>
      </c>
      <c r="D244" s="60">
        <v>57000</v>
      </c>
      <c r="E244" s="60">
        <f t="shared" si="0"/>
        <v>55000</v>
      </c>
      <c r="F244" s="62">
        <f t="shared" si="1"/>
        <v>55</v>
      </c>
      <c r="Q244" s="72"/>
      <c r="R244" s="73"/>
      <c r="S244" s="73"/>
      <c r="T244" s="73"/>
      <c r="U244" s="73"/>
      <c r="V244" s="73"/>
    </row>
    <row r="245" spans="2:22" x14ac:dyDescent="0.25">
      <c r="B245" s="34">
        <v>2017</v>
      </c>
      <c r="C245" s="29">
        <v>49</v>
      </c>
      <c r="D245" s="60">
        <v>55000</v>
      </c>
      <c r="E245" s="60">
        <f t="shared" si="0"/>
        <v>57000</v>
      </c>
      <c r="F245" s="62">
        <f t="shared" si="1"/>
        <v>57</v>
      </c>
      <c r="Q245" s="72"/>
      <c r="R245" s="73"/>
      <c r="S245" s="73"/>
      <c r="T245" s="73"/>
      <c r="U245" s="73"/>
      <c r="V245" s="73"/>
    </row>
    <row r="246" spans="2:22" x14ac:dyDescent="0.25">
      <c r="B246" s="34">
        <v>2018</v>
      </c>
      <c r="C246" s="29">
        <v>49</v>
      </c>
      <c r="D246" s="60">
        <v>57000</v>
      </c>
      <c r="E246" s="60">
        <f t="shared" si="0"/>
        <v>57000</v>
      </c>
      <c r="F246" s="62">
        <f t="shared" si="1"/>
        <v>57</v>
      </c>
      <c r="Q246" s="72"/>
      <c r="R246" s="73"/>
      <c r="S246" s="73"/>
      <c r="T246" s="73"/>
      <c r="U246" s="73"/>
      <c r="V246" s="73"/>
    </row>
    <row r="247" spans="2:22" x14ac:dyDescent="0.25">
      <c r="B247" s="34">
        <v>2019</v>
      </c>
      <c r="C247" s="29">
        <v>56</v>
      </c>
      <c r="D247" s="60">
        <v>57000</v>
      </c>
      <c r="E247" s="60">
        <f t="shared" si="0"/>
        <v>50000</v>
      </c>
      <c r="F247" s="62">
        <f t="shared" si="1"/>
        <v>50</v>
      </c>
      <c r="Q247" s="72"/>
      <c r="R247" s="73"/>
      <c r="S247" s="73"/>
      <c r="T247" s="73"/>
      <c r="U247" s="73"/>
      <c r="V247" s="73"/>
    </row>
    <row r="248" spans="2:22" x14ac:dyDescent="0.25">
      <c r="B248" s="34">
        <v>2020</v>
      </c>
      <c r="C248" s="29">
        <v>62</v>
      </c>
      <c r="D248" s="60">
        <v>50000</v>
      </c>
      <c r="E248" s="60">
        <f t="shared" si="0"/>
        <v>43000</v>
      </c>
      <c r="F248" s="62">
        <f t="shared" si="1"/>
        <v>43</v>
      </c>
      <c r="Q248" s="72"/>
      <c r="R248" s="73"/>
      <c r="S248" s="73"/>
      <c r="T248" s="73"/>
      <c r="U248" s="73"/>
      <c r="V248" s="73"/>
    </row>
    <row r="249" spans="2:22" x14ac:dyDescent="0.25">
      <c r="B249" s="34">
        <v>2021</v>
      </c>
      <c r="C249" s="29">
        <v>68</v>
      </c>
      <c r="D249" s="60">
        <v>43000</v>
      </c>
      <c r="E249" s="60">
        <f t="shared" si="0"/>
        <v>38000</v>
      </c>
      <c r="F249" s="62">
        <f t="shared" si="1"/>
        <v>38</v>
      </c>
      <c r="Q249" s="72"/>
      <c r="R249" s="73"/>
      <c r="S249" s="73"/>
      <c r="T249" s="73"/>
      <c r="U249" s="73"/>
      <c r="V249" s="73"/>
    </row>
    <row r="250" spans="2:22" x14ac:dyDescent="0.25">
      <c r="B250" s="34">
        <v>2022</v>
      </c>
      <c r="C250" s="29">
        <v>75</v>
      </c>
      <c r="D250" s="60">
        <v>38000</v>
      </c>
      <c r="E250" s="60">
        <f t="shared" si="0"/>
        <v>34000</v>
      </c>
      <c r="F250" s="62">
        <f t="shared" si="1"/>
        <v>34</v>
      </c>
      <c r="Q250" s="72"/>
      <c r="R250" s="73"/>
      <c r="S250" s="73"/>
      <c r="T250" s="73"/>
      <c r="U250" s="73"/>
      <c r="V250" s="73"/>
    </row>
    <row r="251" spans="2:22" x14ac:dyDescent="0.25">
      <c r="B251" s="34">
        <v>2023</v>
      </c>
      <c r="C251" s="29">
        <v>81</v>
      </c>
      <c r="D251" s="60">
        <v>34000</v>
      </c>
      <c r="E251" s="60">
        <f t="shared" si="0"/>
        <v>30000</v>
      </c>
      <c r="F251" s="62">
        <f t="shared" si="1"/>
        <v>30</v>
      </c>
      <c r="Q251" s="72"/>
      <c r="R251" s="73"/>
      <c r="S251" s="73"/>
      <c r="T251" s="73"/>
      <c r="U251" s="73"/>
      <c r="V251" s="73"/>
    </row>
    <row r="252" spans="2:22" x14ac:dyDescent="0.25">
      <c r="B252" s="56">
        <v>2024</v>
      </c>
      <c r="C252" s="63">
        <v>87</v>
      </c>
      <c r="D252" s="71">
        <v>30000</v>
      </c>
      <c r="E252" s="63" t="e">
        <f t="shared" si="0"/>
        <v>#N/A</v>
      </c>
      <c r="F252" s="64"/>
      <c r="Q252" s="72"/>
      <c r="R252" s="73"/>
      <c r="S252" s="73"/>
      <c r="T252" s="73"/>
      <c r="U252" s="73"/>
      <c r="V252" s="73"/>
    </row>
    <row r="254" spans="2:22" ht="15" customHeight="1" x14ac:dyDescent="0.25">
      <c r="H254" s="78" t="s">
        <v>302</v>
      </c>
      <c r="I254" s="78"/>
      <c r="J254" s="78"/>
      <c r="K254" s="78"/>
      <c r="L254" s="78"/>
      <c r="M254" s="78"/>
      <c r="N254" s="78"/>
      <c r="O254" s="78"/>
      <c r="P254" s="78"/>
    </row>
    <row r="255" spans="2:22" x14ac:dyDescent="0.25">
      <c r="G255" s="79" t="s">
        <v>303</v>
      </c>
      <c r="H255" s="79"/>
      <c r="I255" s="79"/>
      <c r="J255" s="79"/>
      <c r="K255" s="79"/>
      <c r="L255" s="79"/>
      <c r="M255" s="79"/>
      <c r="N255" s="79"/>
      <c r="O255" s="79"/>
      <c r="P255" s="79"/>
      <c r="Q255" s="79"/>
    </row>
    <row r="256" spans="2:22" x14ac:dyDescent="0.25"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</row>
    <row r="257" spans="2:17" x14ac:dyDescent="0.25"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</row>
    <row r="258" spans="2:17" x14ac:dyDescent="0.25"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</row>
    <row r="261" spans="2:17" ht="18.75" x14ac:dyDescent="0.3">
      <c r="B261" s="80" t="s">
        <v>304</v>
      </c>
      <c r="C261" s="80"/>
      <c r="D261" s="80"/>
      <c r="E261" s="80"/>
      <c r="F261" s="80"/>
      <c r="G261" s="80"/>
      <c r="H261" s="80"/>
    </row>
    <row r="263" spans="2:17" x14ac:dyDescent="0.25">
      <c r="B263" s="28" t="s">
        <v>225</v>
      </c>
      <c r="C263" s="29" t="s">
        <v>203</v>
      </c>
    </row>
    <row r="264" spans="2:17" x14ac:dyDescent="0.25">
      <c r="B264" s="28" t="s">
        <v>289</v>
      </c>
      <c r="C264" s="29" t="s">
        <v>227</v>
      </c>
    </row>
    <row r="266" spans="2:17" x14ac:dyDescent="0.25">
      <c r="B266" s="66" t="s">
        <v>222</v>
      </c>
      <c r="C266" s="65" t="s">
        <v>298</v>
      </c>
      <c r="D266" s="65" t="s">
        <v>305</v>
      </c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</row>
    <row r="267" spans="2:17" x14ac:dyDescent="0.25">
      <c r="B267" s="29">
        <v>2010</v>
      </c>
      <c r="C267" s="37">
        <v>75000</v>
      </c>
      <c r="D267" s="45"/>
    </row>
    <row r="268" spans="2:17" x14ac:dyDescent="0.25">
      <c r="B268" s="29">
        <v>2011</v>
      </c>
      <c r="C268" s="37">
        <v>78000</v>
      </c>
      <c r="D268" s="45">
        <v>0.04</v>
      </c>
    </row>
    <row r="269" spans="2:17" x14ac:dyDescent="0.25">
      <c r="B269" s="29">
        <v>2012</v>
      </c>
      <c r="C269" s="37">
        <v>73000</v>
      </c>
      <c r="D269" s="45">
        <v>-2.6666666666666668E-2</v>
      </c>
    </row>
    <row r="270" spans="2:17" x14ac:dyDescent="0.25">
      <c r="B270" s="29">
        <v>2013</v>
      </c>
      <c r="C270" s="37">
        <v>66000</v>
      </c>
      <c r="D270" s="45">
        <v>-0.12</v>
      </c>
    </row>
    <row r="271" spans="2:17" x14ac:dyDescent="0.25">
      <c r="B271" s="29">
        <v>2014</v>
      </c>
      <c r="C271" s="37">
        <v>61000</v>
      </c>
      <c r="D271" s="45">
        <v>-0.18666666666666668</v>
      </c>
    </row>
    <row r="272" spans="2:17" x14ac:dyDescent="0.25">
      <c r="B272" s="29">
        <v>2015</v>
      </c>
      <c r="C272" s="37">
        <v>59000</v>
      </c>
      <c r="D272" s="45">
        <v>-0.21333333333333335</v>
      </c>
    </row>
    <row r="273" spans="2:14" x14ac:dyDescent="0.25">
      <c r="B273" s="29">
        <v>2016</v>
      </c>
      <c r="C273" s="37">
        <v>57000</v>
      </c>
      <c r="D273" s="45">
        <v>-0.24</v>
      </c>
    </row>
    <row r="274" spans="2:14" x14ac:dyDescent="0.25">
      <c r="B274" s="29">
        <v>2017</v>
      </c>
      <c r="C274" s="37">
        <v>55000</v>
      </c>
      <c r="D274" s="45">
        <v>-0.26666666666666666</v>
      </c>
    </row>
    <row r="275" spans="2:14" x14ac:dyDescent="0.25">
      <c r="B275" s="29">
        <v>2018</v>
      </c>
      <c r="C275" s="37">
        <v>57000</v>
      </c>
      <c r="D275" s="45">
        <v>-0.24</v>
      </c>
    </row>
    <row r="276" spans="2:14" x14ac:dyDescent="0.25">
      <c r="B276" s="29">
        <v>2019</v>
      </c>
      <c r="C276" s="37">
        <v>57000</v>
      </c>
      <c r="D276" s="45">
        <v>-0.24</v>
      </c>
    </row>
    <row r="277" spans="2:14" x14ac:dyDescent="0.25">
      <c r="B277" s="29">
        <v>2020</v>
      </c>
      <c r="C277" s="37">
        <v>50000</v>
      </c>
      <c r="D277" s="45">
        <v>-0.33333333333333331</v>
      </c>
    </row>
    <row r="278" spans="2:14" x14ac:dyDescent="0.25">
      <c r="B278" s="29">
        <v>2021</v>
      </c>
      <c r="C278" s="37">
        <v>43000</v>
      </c>
      <c r="D278" s="45">
        <v>-0.42666666666666669</v>
      </c>
    </row>
    <row r="279" spans="2:14" x14ac:dyDescent="0.25">
      <c r="B279" s="29">
        <v>2022</v>
      </c>
      <c r="C279" s="37">
        <v>38000</v>
      </c>
      <c r="D279" s="45">
        <v>-0.49333333333333335</v>
      </c>
    </row>
    <row r="280" spans="2:14" x14ac:dyDescent="0.25">
      <c r="B280" s="29">
        <v>2023</v>
      </c>
      <c r="C280" s="37">
        <v>34000</v>
      </c>
      <c r="D280" s="45">
        <v>-0.54666666666666663</v>
      </c>
    </row>
    <row r="281" spans="2:14" x14ac:dyDescent="0.25">
      <c r="B281" s="29">
        <v>2024</v>
      </c>
      <c r="C281" s="37">
        <v>30000</v>
      </c>
      <c r="D281" s="45">
        <v>-0.6</v>
      </c>
    </row>
    <row r="283" spans="2:14" ht="15.75" customHeight="1" x14ac:dyDescent="0.25">
      <c r="F283" s="78" t="s">
        <v>306</v>
      </c>
      <c r="G283" s="78"/>
      <c r="H283" s="78"/>
      <c r="I283" s="78"/>
      <c r="J283" s="78"/>
      <c r="K283" s="78"/>
      <c r="L283" s="78"/>
      <c r="M283" s="78"/>
      <c r="N283" s="78"/>
    </row>
    <row r="284" spans="2:14" x14ac:dyDescent="0.25">
      <c r="F284" s="78"/>
      <c r="G284" s="78"/>
      <c r="H284" s="78"/>
      <c r="I284" s="78"/>
      <c r="J284" s="78"/>
      <c r="K284" s="78"/>
      <c r="L284" s="78"/>
      <c r="M284" s="78"/>
      <c r="N284" s="78"/>
    </row>
    <row r="285" spans="2:14" x14ac:dyDescent="0.25">
      <c r="F285" s="78"/>
      <c r="G285" s="78"/>
      <c r="H285" s="78"/>
      <c r="I285" s="78"/>
      <c r="J285" s="78"/>
      <c r="K285" s="78"/>
      <c r="L285" s="78"/>
      <c r="M285" s="78"/>
      <c r="N285" s="78"/>
    </row>
  </sheetData>
  <sheetProtection algorithmName="SHA-512" hashValue="/QxED5lwo41R92A095IxPeV2qV4sa3z4DZ+Jh75/ls4sJSpTs69nFveFsDg6sPF190N3Bx7M8TEdo91tT0pEkQ==" saltValue="E0uEbnKwWRbIIKpP7JkHPA==" spinCount="100000" sheet="1" objects="1" scenarios="1" selectLockedCells="1"/>
  <mergeCells count="85">
    <mergeCell ref="B89:C89"/>
    <mergeCell ref="D113:O115"/>
    <mergeCell ref="F230:N232"/>
    <mergeCell ref="H199:N201"/>
    <mergeCell ref="D205:Q205"/>
    <mergeCell ref="B207:H207"/>
    <mergeCell ref="D153:I153"/>
    <mergeCell ref="O110:O111"/>
    <mergeCell ref="J104:K105"/>
    <mergeCell ref="L104:M104"/>
    <mergeCell ref="N104:N105"/>
    <mergeCell ref="O104:O105"/>
    <mergeCell ref="L105:M105"/>
    <mergeCell ref="J110:J111"/>
    <mergeCell ref="K110:M111"/>
    <mergeCell ref="N110:N111"/>
    <mergeCell ref="B110:B111"/>
    <mergeCell ref="C110:E111"/>
    <mergeCell ref="M107:M108"/>
    <mergeCell ref="N107:N108"/>
    <mergeCell ref="L107:L108"/>
    <mergeCell ref="F110:F111"/>
    <mergeCell ref="G110:G111"/>
    <mergeCell ref="G104:G105"/>
    <mergeCell ref="B104:C105"/>
    <mergeCell ref="D104:E104"/>
    <mergeCell ref="D105:E105"/>
    <mergeCell ref="F104:F105"/>
    <mergeCell ref="B107:B108"/>
    <mergeCell ref="D107:D108"/>
    <mergeCell ref="E107:E108"/>
    <mergeCell ref="F107:F108"/>
    <mergeCell ref="J107:J108"/>
    <mergeCell ref="E41:E42"/>
    <mergeCell ref="F41:F42"/>
    <mergeCell ref="H41:H42"/>
    <mergeCell ref="I41:I42"/>
    <mergeCell ref="J41:J42"/>
    <mergeCell ref="B2:S2"/>
    <mergeCell ref="D4:Q4"/>
    <mergeCell ref="B6:G6"/>
    <mergeCell ref="B32:G32"/>
    <mergeCell ref="E27:O29"/>
    <mergeCell ref="B34:D35"/>
    <mergeCell ref="E34:E35"/>
    <mergeCell ref="F34:F35"/>
    <mergeCell ref="G34:J34"/>
    <mergeCell ref="K34:L35"/>
    <mergeCell ref="G35:J35"/>
    <mergeCell ref="B44:D45"/>
    <mergeCell ref="E44:E45"/>
    <mergeCell ref="F44:F45"/>
    <mergeCell ref="G44:J45"/>
    <mergeCell ref="F145:O148"/>
    <mergeCell ref="E46:J46"/>
    <mergeCell ref="E47:J47"/>
    <mergeCell ref="E48:J48"/>
    <mergeCell ref="F82:O84"/>
    <mergeCell ref="E50:E51"/>
    <mergeCell ref="F50:F51"/>
    <mergeCell ref="B87:H87"/>
    <mergeCell ref="B59:H59"/>
    <mergeCell ref="G50:G51"/>
    <mergeCell ref="E54:O56"/>
    <mergeCell ref="J89:K89"/>
    <mergeCell ref="B151:H151"/>
    <mergeCell ref="D119:Q119"/>
    <mergeCell ref="B120:E121"/>
    <mergeCell ref="B123:H123"/>
    <mergeCell ref="B185:F188"/>
    <mergeCell ref="B183:H183"/>
    <mergeCell ref="D154:J154"/>
    <mergeCell ref="D155:J155"/>
    <mergeCell ref="B153:C155"/>
    <mergeCell ref="E178:M180"/>
    <mergeCell ref="F283:N285"/>
    <mergeCell ref="G255:Q258"/>
    <mergeCell ref="B261:H261"/>
    <mergeCell ref="H254:P254"/>
    <mergeCell ref="B190:E191"/>
    <mergeCell ref="B194:C194"/>
    <mergeCell ref="B195:C195"/>
    <mergeCell ref="B196:C196"/>
    <mergeCell ref="B193:C193"/>
    <mergeCell ref="B235:H235"/>
  </mergeCells>
  <conditionalFormatting pivot="1" sqref="C11:C2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94:C100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{D579DB01-4273-4F75-BEE9-E917E23768DB}</x14:id>
        </ext>
      </extLst>
    </cfRule>
  </conditionalFormatting>
  <conditionalFormatting pivot="1" sqref="K94:K10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{BA58372E-23AA-4716-8DB4-AEBEC781E5F2}</x14:id>
        </ext>
      </extLst>
    </cfRule>
  </conditionalFormatting>
  <pageMargins left="0.7" right="0.7" top="0.75" bottom="0.75" header="0.3" footer="0.3"/>
  <pageSetup paperSize="9" scale="30" orientation="landscape" horizontalDpi="4294967295" verticalDpi="4294967295" r:id="rId11"/>
  <drawing r:id="rId12"/>
  <tableParts count="1">
    <tablePart r:id="rId1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579DB01-4273-4F75-BEE9-E917E23768DB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FF0000"/>
              <x14:negativeBorderColor rgb="FFFF0000"/>
              <x14:axisColor rgb="FF000000"/>
            </x14:dataBar>
          </x14:cfRule>
          <xm:sqref>C94:C100</xm:sqref>
        </x14:conditionalFormatting>
        <x14:conditionalFormatting xmlns:xm="http://schemas.microsoft.com/office/excel/2006/main" pivot="1">
          <x14:cfRule type="dataBar" id="{BA58372E-23AA-4716-8DB4-AEBEC781E5F2}">
            <x14:dataBar minLength="0" maxLength="100" border="1" direction="rightToLeft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K94:K101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197181-efc1-42f5-b058-02cc8b9e7a28">
      <Terms xmlns="http://schemas.microsoft.com/office/infopath/2007/PartnerControls"/>
    </lcf76f155ced4ddcb4097134ff3c332f>
    <TaxCatchAll xmlns="6034ea42-cc56-4b5c-b72b-8ca3661c6e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EE13CC5E778A49AC92FD5E9EA9DE44" ma:contentTypeVersion="18" ma:contentTypeDescription="Create a new document." ma:contentTypeScope="" ma:versionID="29ce5b17fe14c9db4c7ec02b82f7297c">
  <xsd:schema xmlns:xsd="http://www.w3.org/2001/XMLSchema" xmlns:xs="http://www.w3.org/2001/XMLSchema" xmlns:p="http://schemas.microsoft.com/office/2006/metadata/properties" xmlns:ns2="a7197181-efc1-42f5-b058-02cc8b9e7a28" xmlns:ns3="6034ea42-cc56-4b5c-b72b-8ca3661c6ee8" targetNamespace="http://schemas.microsoft.com/office/2006/metadata/properties" ma:root="true" ma:fieldsID="02be0516652c0c396978feaab9d24958" ns2:_="" ns3:_="">
    <xsd:import namespace="a7197181-efc1-42f5-b058-02cc8b9e7a28"/>
    <xsd:import namespace="6034ea42-cc56-4b5c-b72b-8ca3661c6e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97181-efc1-42f5-b058-02cc8b9e7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008808e-a4ff-498b-8b44-8869f1dca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4ea42-cc56-4b5c-b72b-8ca3661c6ee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3519132-67b7-4f9c-9ca9-5104ae27bcb0}" ma:internalName="TaxCatchAll" ma:showField="CatchAllData" ma:web="6034ea42-cc56-4b5c-b72b-8ca3661c6e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7EA071-744C-472A-9069-CA2DFA42FB4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C765BEE-E871-47F8-AAF5-D160A968C61B}">
  <ds:schemaRefs>
    <ds:schemaRef ds:uri="http://purl.org/dc/elements/1.1/"/>
    <ds:schemaRef ds:uri="http://schemas.openxmlformats.org/package/2006/metadata/core-properties"/>
    <ds:schemaRef ds:uri="a7197181-efc1-42f5-b058-02cc8b9e7a28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6034ea42-cc56-4b5c-b72b-8ca3661c6ee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23ECD8F-92A5-4298-9955-02D120F16B2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E65C2CB-C0BB-42C9-B240-D3AAA5BF50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197181-efc1-42f5-b058-02cc8b9e7a28"/>
    <ds:schemaRef ds:uri="6034ea42-cc56-4b5c-b72b-8ca3661c6e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Incidence&amp;Mortality Est extract</vt:lpstr>
      <vt:lpstr>ART Coverage % Extract</vt:lpstr>
      <vt:lpstr>Cleaned Version</vt:lpstr>
      <vt:lpstr>Queried Version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DAHER, Juliana</dc:creator>
  <cp:lastModifiedBy>HP</cp:lastModifiedBy>
  <cp:lastPrinted>2025-09-17T13:29:52Z</cp:lastPrinted>
  <dcterms:created xsi:type="dcterms:W3CDTF">2022-07-19T11:16:47Z</dcterms:created>
  <dcterms:modified xsi:type="dcterms:W3CDTF">2025-09-27T20:58:41Z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0x01010082EE13CC5E778A49AC92FD5E9EA9DE44</vt:lpwstr>
  </property>
</Properties>
</file>